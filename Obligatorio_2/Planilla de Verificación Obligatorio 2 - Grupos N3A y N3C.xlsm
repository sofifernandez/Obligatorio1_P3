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tables/table2.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501"/>
  <workbookPr defaultThemeVersion="166925"/>
  <mc:AlternateContent xmlns:mc="http://schemas.openxmlformats.org/markup-compatibility/2006">
    <mc:Choice Requires="x15">
      <x15ac:absPath xmlns:x15ac="http://schemas.microsoft.com/office/spreadsheetml/2010/11/ac" url="F:\P3\MARZO 2023\OBLIGATORIOS\OBLI 2\"/>
    </mc:Choice>
  </mc:AlternateContent>
  <xr:revisionPtr revIDLastSave="0" documentId="13_ncr:1_{1BFF04DA-403D-4C28-BA17-CBD2BB082229}" xr6:coauthVersionLast="47" xr6:coauthVersionMax="47" xr10:uidLastSave="{00000000-0000-0000-0000-000000000000}"/>
  <bookViews>
    <workbookView xWindow="-108" yWindow="-108" windowWidth="23256" windowHeight="12456" xr2:uid="{51C81ABE-75C4-477E-856D-EB7731E68FE9}"/>
  </bookViews>
  <sheets>
    <sheet name="Checklist" sheetId="1" r:id="rId1"/>
    <sheet name="Resumen" sheetId="3" r:id="rId2"/>
    <sheet name="Config" sheetId="2" r:id="rId3"/>
  </sheets>
  <definedNames>
    <definedName name="_xlnm.Print_Area" localSheetId="0">Checklist!$A$2:$B$99</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95" i="3" l="1"/>
  <c r="C3" i="3"/>
  <c r="C4" i="3"/>
  <c r="C5" i="3"/>
  <c r="C7" i="3"/>
  <c r="C8" i="3"/>
  <c r="C9" i="3"/>
  <c r="C10" i="3"/>
  <c r="C11" i="3"/>
  <c r="C12" i="3"/>
  <c r="C13" i="3"/>
  <c r="C14" i="3"/>
  <c r="C15" i="3"/>
  <c r="C16" i="3"/>
  <c r="C17" i="3"/>
  <c r="C18" i="3"/>
  <c r="C19" i="3"/>
  <c r="C21" i="3"/>
  <c r="C22" i="3"/>
  <c r="C23" i="3"/>
  <c r="C24" i="3"/>
  <c r="C26" i="3"/>
  <c r="C27" i="3"/>
  <c r="C28" i="3"/>
  <c r="C29" i="3"/>
  <c r="C30" i="3"/>
  <c r="C31" i="3"/>
  <c r="C32" i="3"/>
  <c r="C34" i="3"/>
  <c r="C35" i="3"/>
  <c r="C36" i="3"/>
  <c r="C37" i="3"/>
  <c r="C38" i="3"/>
  <c r="C39" i="3"/>
  <c r="C41" i="3"/>
  <c r="C42" i="3"/>
  <c r="C43" i="3"/>
  <c r="C44" i="3"/>
  <c r="C45" i="3"/>
  <c r="C46" i="3"/>
  <c r="C47" i="3"/>
  <c r="C49" i="3"/>
  <c r="C50" i="3"/>
  <c r="C51" i="3"/>
  <c r="C52" i="3"/>
  <c r="C53" i="3"/>
  <c r="C55" i="3"/>
  <c r="C56" i="3"/>
  <c r="C57" i="3"/>
  <c r="C58" i="3"/>
  <c r="C60" i="3"/>
  <c r="C61" i="3"/>
  <c r="C62" i="3"/>
  <c r="C64" i="3"/>
  <c r="C65" i="3"/>
  <c r="C66" i="3"/>
  <c r="C67" i="3"/>
  <c r="C68" i="3"/>
  <c r="C70" i="3"/>
  <c r="C71" i="3"/>
  <c r="C72" i="3"/>
  <c r="C79" i="3"/>
  <c r="C80" i="3"/>
  <c r="C81" i="3"/>
  <c r="C83" i="3"/>
  <c r="C84" i="3"/>
  <c r="C85" i="3"/>
  <c r="C87" i="3"/>
  <c r="C88" i="3"/>
  <c r="C89" i="3"/>
  <c r="C91" i="3"/>
  <c r="C92" i="3"/>
  <c r="C93" i="3"/>
  <c r="C95" i="3"/>
  <c r="C96" i="3"/>
  <c r="C97" i="3"/>
  <c r="C98" i="3"/>
  <c r="C99" i="3"/>
  <c r="C100" i="3"/>
  <c r="C1" i="3" l="1"/>
  <c r="B3" i="3"/>
  <c r="B4" i="3"/>
  <c r="B5" i="3"/>
  <c r="B7" i="3"/>
  <c r="B8" i="3"/>
  <c r="B9" i="3"/>
  <c r="B10" i="3"/>
  <c r="B11" i="3"/>
  <c r="B12" i="3"/>
  <c r="B13" i="3"/>
  <c r="B14" i="3"/>
  <c r="B15" i="3"/>
  <c r="B16" i="3"/>
  <c r="B17" i="3"/>
  <c r="B18" i="3"/>
  <c r="B19" i="3"/>
  <c r="B21" i="3"/>
  <c r="B22" i="3"/>
  <c r="B23" i="3"/>
  <c r="B24" i="3"/>
  <c r="B26" i="3"/>
  <c r="B27" i="3"/>
  <c r="B28" i="3"/>
  <c r="B29" i="3"/>
  <c r="B30" i="3"/>
  <c r="B31" i="3"/>
  <c r="B32" i="3"/>
  <c r="B34" i="3"/>
  <c r="B35" i="3"/>
  <c r="B36" i="3"/>
  <c r="B37" i="3"/>
  <c r="B38" i="3"/>
  <c r="B39" i="3"/>
  <c r="B41" i="3"/>
  <c r="B42" i="3"/>
  <c r="B43" i="3"/>
  <c r="B44" i="3"/>
  <c r="B45" i="3"/>
  <c r="B46" i="3"/>
  <c r="B47" i="3"/>
  <c r="B49" i="3"/>
  <c r="B50" i="3"/>
  <c r="B51" i="3"/>
  <c r="B52" i="3"/>
  <c r="B53" i="3"/>
  <c r="B55" i="3"/>
  <c r="B56" i="3"/>
  <c r="B57" i="3"/>
  <c r="B58" i="3"/>
  <c r="B60" i="3"/>
  <c r="B61" i="3"/>
  <c r="B62" i="3"/>
  <c r="B64" i="3"/>
  <c r="B65" i="3"/>
  <c r="B66" i="3"/>
  <c r="B67" i="3"/>
  <c r="B68" i="3"/>
  <c r="B70" i="3"/>
  <c r="B71" i="3"/>
  <c r="B72" i="3"/>
  <c r="B79" i="3"/>
  <c r="B80" i="3"/>
  <c r="B81" i="3"/>
  <c r="B83" i="3"/>
  <c r="B84" i="3"/>
  <c r="B85" i="3"/>
  <c r="B87" i="3"/>
  <c r="B88" i="3"/>
  <c r="B89" i="3"/>
  <c r="B91" i="3"/>
  <c r="B92" i="3"/>
  <c r="B93" i="3"/>
  <c r="B95" i="3"/>
  <c r="B96" i="3"/>
  <c r="B97" i="3"/>
  <c r="B98" i="3"/>
  <c r="B99" i="3"/>
  <c r="B100" i="3"/>
  <c r="B1" i="3"/>
  <c r="A2" i="3"/>
  <c r="A3" i="3"/>
  <c r="A4" i="3"/>
  <c r="A5" i="3"/>
  <c r="A6" i="3"/>
  <c r="A7" i="3"/>
  <c r="A8" i="3"/>
  <c r="A9" i="3"/>
  <c r="A10" i="3"/>
  <c r="A11" i="3"/>
  <c r="A12" i="3"/>
  <c r="A13" i="3"/>
  <c r="A14" i="3"/>
  <c r="A15" i="3"/>
  <c r="A16" i="3"/>
  <c r="A17" i="3"/>
  <c r="A18" i="3"/>
  <c r="A19" i="3"/>
  <c r="A20" i="3"/>
  <c r="A21" i="3"/>
  <c r="A22" i="3"/>
  <c r="A23" i="3"/>
  <c r="A24" i="3"/>
  <c r="A25" i="3"/>
  <c r="A26" i="3"/>
  <c r="A27" i="3"/>
  <c r="A28" i="3"/>
  <c r="A29" i="3"/>
  <c r="A30" i="3"/>
  <c r="A31" i="3"/>
  <c r="A32" i="3"/>
  <c r="A33" i="3"/>
  <c r="A34" i="3"/>
  <c r="A35" i="3"/>
  <c r="A36" i="3"/>
  <c r="A37" i="3"/>
  <c r="A38" i="3"/>
  <c r="A39" i="3"/>
  <c r="A40" i="3"/>
  <c r="A41" i="3"/>
  <c r="A42" i="3"/>
  <c r="A43" i="3"/>
  <c r="A44" i="3"/>
  <c r="A45" i="3"/>
  <c r="A46" i="3"/>
  <c r="A47" i="3"/>
  <c r="A48" i="3"/>
  <c r="A49" i="3"/>
  <c r="A50" i="3"/>
  <c r="A51" i="3"/>
  <c r="A52" i="3"/>
  <c r="A53" i="3"/>
  <c r="A54" i="3"/>
  <c r="A55" i="3"/>
  <c r="A56" i="3"/>
  <c r="A57" i="3"/>
  <c r="A58" i="3"/>
  <c r="A59" i="3"/>
  <c r="A60" i="3"/>
  <c r="A61" i="3"/>
  <c r="A62" i="3"/>
  <c r="A63" i="3"/>
  <c r="A64" i="3"/>
  <c r="A65" i="3"/>
  <c r="A66" i="3"/>
  <c r="A67" i="3"/>
  <c r="A68" i="3"/>
  <c r="A69" i="3"/>
  <c r="A70" i="3"/>
  <c r="A71" i="3"/>
  <c r="A72" i="3"/>
  <c r="A73" i="3"/>
  <c r="A74" i="3"/>
  <c r="A75" i="3"/>
  <c r="A76" i="3"/>
  <c r="A77" i="3"/>
  <c r="A78" i="3"/>
  <c r="A79" i="3"/>
  <c r="A80" i="3"/>
  <c r="A81" i="3"/>
  <c r="A82" i="3"/>
  <c r="A83" i="3"/>
  <c r="A84" i="3"/>
  <c r="A85" i="3"/>
  <c r="A86" i="3"/>
  <c r="A87" i="3"/>
  <c r="A88" i="3"/>
  <c r="A89" i="3"/>
  <c r="A90" i="3"/>
  <c r="A91" i="3"/>
  <c r="A92" i="3"/>
  <c r="A93" i="3"/>
  <c r="A94" i="3"/>
  <c r="A96" i="3"/>
  <c r="A97" i="3"/>
  <c r="A98" i="3"/>
  <c r="A99" i="3"/>
  <c r="A100" i="3"/>
  <c r="A1" i="3"/>
</calcChain>
</file>

<file path=xl/sharedStrings.xml><?xml version="1.0" encoding="utf-8"?>
<sst xmlns="http://schemas.openxmlformats.org/spreadsheetml/2006/main" count="100" uniqueCount="82">
  <si>
    <t>Item</t>
  </si>
  <si>
    <t>Completitud</t>
  </si>
  <si>
    <t>Comentarios</t>
  </si>
  <si>
    <t>Varios</t>
  </si>
  <si>
    <t>Datos de prueba (scripts con insert en la BD o equivalente)</t>
  </si>
  <si>
    <r>
      <t>Obligatoriamente</t>
    </r>
    <r>
      <rPr>
        <b/>
        <sz val="11"/>
        <color rgb="FF000000"/>
        <rFont val="Calibri"/>
        <family val="2"/>
        <scheme val="minor"/>
      </rPr>
      <t>: Al menos 10 instancias de cada entidad. Datos suficientes para probar todos los requerimientos. (usuarios 3).</t>
    </r>
  </si>
  <si>
    <t>Implementado en VS 2022, .NET 7, EF 7</t>
  </si>
  <si>
    <t>Documentación</t>
  </si>
  <si>
    <t>PDF único</t>
  </si>
  <si>
    <t>Carátula con nombre, número y foto de los integrantes del equipo.</t>
  </si>
  <si>
    <t>Incluye diagrama de casos de uso con requerimientos actuales y anteriores.</t>
  </si>
  <si>
    <t>Diagrama de interfaces de casos de uso (Capa de aplicación).</t>
  </si>
  <si>
    <t>Diagrama con los DTOS utilizados</t>
  </si>
  <si>
    <t>Diagrama de repositorios indicando la interfaz que realizan.</t>
  </si>
  <si>
    <t>Diagrama de servicios web api.</t>
  </si>
  <si>
    <t>Archivo Astah que incluya todos los diagramas anteriores.</t>
  </si>
  <si>
    <t>Scripts de la base de datos incluyendo esquema e inserts para datos de prueba.</t>
  </si>
  <si>
    <t>Carpeta con imágenes para testear alta de cabaña (no las ya asignadas a cabaña, imágenes extra en carpeta aparte para probar el alta).</t>
  </si>
  <si>
    <t>Sugerencia: aunque no se solicita en la letra, incluir el código fuente de todas las clases de todos los proyectos como constancia para el caso de que se produzcan inconvenientes por errores de subida a Gestión del proyecto.</t>
  </si>
  <si>
    <t>Arquitectura limpia</t>
  </si>
  <si>
    <t>El dominio es el núcleo (no conoce demás capas)</t>
  </si>
  <si>
    <t>Todas las dependencias entre capas se resuelven mediante inyección de dependencias. Cada capa conoce solamente las interfaces de las capas más internas. Se exceptúan los objetos del dominio, que pueden ser accedidos desde los repositorios y la capa de aplicación.</t>
  </si>
  <si>
    <t>Utiliza DTOs para exponer la información desde la webapi (la api retorna y recibe DTOs, nunca objetos de dominio).</t>
  </si>
  <si>
    <t>Incluye capa lógica de negocio (dominio) capa de datos (repositorios implementados en EF), capa de aplicación ( casos de uso), webapi.</t>
  </si>
  <si>
    <t>Adaptación de la capa de negocio</t>
  </si>
  <si>
    <t>Cada clase cumple con sus responsabilidades, y solo con las que les corresponde.</t>
  </si>
  <si>
    <t>Implementa Value Object al menos para 4 atributos</t>
  </si>
  <si>
    <t>Value objects incluyen constructor parametrizado con validación y lanza excepción si no son válidos los datos.</t>
  </si>
  <si>
    <t>Capa de negocio incluye interfaces para los repositorios.</t>
  </si>
  <si>
    <t>Utiliza excepciones personalizadas para las validaciones.</t>
  </si>
  <si>
    <t>Parametriza los topes del largo de nombres y descripciones adecuadamente.</t>
  </si>
  <si>
    <t>Inclusión de la capa de aplicación</t>
  </si>
  <si>
    <t>Capa de aplicación incluye una interfaz y su implementación por cada caso de uso relevado. Cada caso de uso resuelve únicamente lo solicitado en forma completa.</t>
  </si>
  <si>
    <t>Se resuelve en un proyecto aparte.</t>
  </si>
  <si>
    <t>No accede a la clase de contexto directamente, sino a través de los repositorios.</t>
  </si>
  <si>
    <t>Captura excepciones y retorna el valor apropiado o las relanza, cuando corresponde.</t>
  </si>
  <si>
    <t>Recibe la inyección de las interfaces de los repositorios y no usa directamente los repositorios concretos.</t>
  </si>
  <si>
    <t>Webapi</t>
  </si>
  <si>
    <t>Incluye los controllers apropiados para agrupar los casos de uso coherentemente.</t>
  </si>
  <si>
    <t>Las rutas siguen la especificación Rest (urls orientadas a recursos y no a operaciones).</t>
  </si>
  <si>
    <t>Se utilizan los verbos HTTP adecuados según Rest.</t>
  </si>
  <si>
    <t>Retorna y recibe únicamente DTOs</t>
  </si>
  <si>
    <t>Accede exclusivamente a la capa de aplicación</t>
  </si>
  <si>
    <t>Utiliza los retornos apropiados (Ok, Created, NoContent, etc.)</t>
  </si>
  <si>
    <t>Incluye documentación mediante swagger. Cada DTO y cada método incluye un comentario xml para el summary (siempre), parámetros y retorno (cuando corresponde). Incluye los códigos de estado utilizados en cada método (ProducesResponseType).</t>
  </si>
  <si>
    <t>Cliente MVC que consume la Web Api</t>
  </si>
  <si>
    <t>No tiene ninguna dependencia con la aplicación (no conoce los casos de uso, dominio, etc.). Solamente accede mediante HTTPClient a la Web Api. Sea en la misma solución o en soluciones separadas.</t>
  </si>
  <si>
    <t>Evalúa los códigos de estado de la respuesta de la API para enviar mensajes, cancelar o continuar la operación, etc.</t>
  </si>
  <si>
    <t>Controla el acceso a los métodos de los controllers según el usuario autenticado.</t>
  </si>
  <si>
    <t>Implementación de la seguridad usando Tokens.</t>
  </si>
  <si>
    <t>Genera token al hacer el login.</t>
  </si>
  <si>
    <t>El cliente almacena temporalmente en Session el token para no solicitarlo en cada operación.</t>
  </si>
  <si>
    <t>Envía el token en cada solicitud para controlar el acceso a la webapi.</t>
  </si>
  <si>
    <t>Tiene Webapi</t>
  </si>
  <si>
    <t>Consume la webapi en MVC a través de HTTPClient</t>
  </si>
  <si>
    <t>Cierra sesión del usuario corriente y redirige a login.</t>
  </si>
  <si>
    <t>a) Alta</t>
  </si>
  <si>
    <t>b) Listar todos los tipos disponibles</t>
  </si>
  <si>
    <t>c) Búsqueda por nombre</t>
  </si>
  <si>
    <t>d) Eliminación de tipo</t>
  </si>
  <si>
    <t>e) Modificación de descripción y costo por persona.</t>
  </si>
  <si>
    <t>Registro de cabaña (usuario autenticado)</t>
  </si>
  <si>
    <t>Búsqueda de cabañas (usuario autenticado)</t>
  </si>
  <si>
    <t>Registrar mantenimiento de  cabaña  (usuario autenticado)</t>
  </si>
  <si>
    <t>8.Listar mantenimientos de  cabaña entre dos fechas (usuario autenticado)</t>
  </si>
  <si>
    <t>Nuevas consultas (usuario autenticado)</t>
  </si>
  <si>
    <t>Dados dos valores, obtener los mantenimientos realizados a las cabañas con una capacidad que esté comprendida (topes inclusive) entre ambos valores. El resultado se agrupará por nombre de la persona que realizó el mantenimiento, e incluirá el nombre de la persona y el monto total de los mantenimientos que realizó</t>
  </si>
  <si>
    <t>Utiliza exclusivamente Linq para las consultas. 
En caso contrario valen 0</t>
  </si>
  <si>
    <t>Totales</t>
  </si>
  <si>
    <t>Pesos</t>
  </si>
  <si>
    <t>Cumple</t>
  </si>
  <si>
    <t>Objetos Json preparados con datos para probar en postman.</t>
  </si>
  <si>
    <t>Diagrama de clases dominio completo incluyendo interfaces (IValidable, etc.) y las interfaces de repositorios.</t>
  </si>
  <si>
    <t>Diagrama clases cliente MVC que consume la api.</t>
  </si>
  <si>
    <t>Utiliza View Models / DTOs para obtener y enviar objetos hacia y desde la Web Api</t>
  </si>
  <si>
    <t xml:space="preserve">Utiliza correctamente los métodos de HttpClient </t>
  </si>
  <si>
    <t>No permite consumir los  webapi si no está autorizado. Salvo login</t>
  </si>
  <si>
    <t xml:space="preserve">Mantenimiento de tipo de cabaña (usuario autenticado) </t>
  </si>
  <si>
    <t>Login (visitante sin identificar)</t>
  </si>
  <si>
    <t>Usa capa de aplicación</t>
  </si>
  <si>
    <t>Genera un nuevo token.</t>
  </si>
  <si>
    <t>Dado un monto obtener el nombre y capacidad (cantidad de huéspedes que puede alojar) de las cabañas que tengan un costo diario menor a ese monto, que tengan jacuzzi y estén habilitadas para reserva.</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</si>
</sst>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9" x14ac:knownFonts="1">
    <font>
      <sz val="11"/>
      <color theme="1"/>
      <name val="Calibri"/>
      <family val="2"/>
      <scheme val="minor"/>
    </font>
    <font>
      <sz val="11"/>
      <color theme="1"/>
      <name val="Calibri"/>
      <family val="2"/>
      <scheme val="minor"/>
    </font>
    <font>
      <b/>
      <sz val="11"/>
      <color theme="1"/>
      <name val="Calibri"/>
      <family val="2"/>
      <scheme val="minor"/>
    </font>
    <font>
      <b/>
      <sz val="14"/>
      <color theme="1"/>
      <name val="Calibri"/>
      <family val="2"/>
      <scheme val="minor"/>
    </font>
    <font>
      <b/>
      <sz val="11"/>
      <color rgb="FF000000"/>
      <name val="Calibri"/>
    </font>
    <font>
      <b/>
      <sz val="11"/>
      <color rgb="FFFF0000"/>
      <name val="Calibri"/>
      <family val="2"/>
      <scheme val="minor"/>
    </font>
    <font>
      <b/>
      <sz val="11"/>
      <color rgb="FF000000"/>
      <name val="Calibri"/>
      <family val="2"/>
      <scheme val="minor"/>
    </font>
    <font>
      <sz val="9"/>
      <color rgb="FF333333"/>
      <name val="Verdana"/>
      <family val="2"/>
    </font>
    <font>
      <sz val="9"/>
      <color theme="1"/>
      <name val="Calibri"/>
      <family val="2"/>
      <scheme val="minor"/>
    </font>
  </fonts>
  <fills count="7">
    <fill>
      <patternFill patternType="none"/>
    </fill>
    <fill>
      <patternFill patternType="gray125"/>
    </fill>
    <fill>
      <patternFill patternType="solid">
        <fgColor theme="0" tint="-0.14999847407452621"/>
        <bgColor indexed="64"/>
      </patternFill>
    </fill>
    <fill>
      <patternFill patternType="solid">
        <fgColor theme="3" tint="0.39997558519241921"/>
        <bgColor indexed="64"/>
      </patternFill>
    </fill>
    <fill>
      <patternFill patternType="solid">
        <fgColor rgb="FFFFFFFF"/>
        <bgColor indexed="64"/>
      </patternFill>
    </fill>
    <fill>
      <patternFill patternType="solid">
        <fgColor theme="0"/>
        <bgColor indexed="64"/>
      </patternFill>
    </fill>
    <fill>
      <patternFill patternType="solid">
        <fgColor theme="0" tint="-0.249977111117893"/>
        <bgColor indexed="64"/>
      </patternFill>
    </fill>
  </fills>
  <borders count="3">
    <border>
      <left/>
      <right/>
      <top/>
      <bottom/>
      <diagonal/>
    </border>
    <border>
      <left style="thin">
        <color indexed="64"/>
      </left>
      <right style="thin">
        <color indexed="64"/>
      </right>
      <top style="thin">
        <color indexed="64"/>
      </top>
      <bottom style="thin">
        <color indexed="64"/>
      </bottom>
      <diagonal/>
    </border>
    <border>
      <left style="thin">
        <color rgb="FF000000"/>
      </left>
      <right style="thin">
        <color rgb="FF000000"/>
      </right>
      <top style="thin">
        <color rgb="FF000000"/>
      </top>
      <bottom style="thin">
        <color rgb="FF000000"/>
      </bottom>
      <diagonal/>
    </border>
  </borders>
  <cellStyleXfs count="2">
    <xf numFmtId="0" fontId="0" fillId="0" borderId="0"/>
    <xf numFmtId="9" fontId="1" fillId="0" borderId="0" applyFont="0" applyFill="0" applyBorder="0" applyAlignment="0" applyProtection="0"/>
  </cellStyleXfs>
  <cellXfs count="33">
    <xf numFmtId="0" fontId="0" fillId="0" borderId="0" xfId="0"/>
    <xf numFmtId="9" fontId="0" fillId="0" borderId="0" xfId="0" applyNumberFormat="1"/>
    <xf numFmtId="0" fontId="5" fillId="0" borderId="1" xfId="0" applyFont="1" applyBorder="1" applyAlignment="1">
      <alignment horizontal="left" vertical="center" wrapText="1"/>
    </xf>
    <xf numFmtId="0" fontId="0" fillId="0" borderId="1" xfId="0" applyBorder="1" applyAlignment="1">
      <alignment wrapText="1"/>
    </xf>
    <xf numFmtId="0" fontId="2" fillId="2" borderId="1" xfId="0" applyFont="1" applyFill="1" applyBorder="1" applyAlignment="1">
      <alignment wrapText="1"/>
    </xf>
    <xf numFmtId="0" fontId="2" fillId="0" borderId="1" xfId="0" applyFont="1" applyBorder="1" applyAlignment="1">
      <alignment wrapText="1"/>
    </xf>
    <xf numFmtId="0" fontId="0" fillId="4" borderId="1" xfId="0" applyFill="1" applyBorder="1" applyAlignment="1">
      <alignment wrapText="1"/>
    </xf>
    <xf numFmtId="0" fontId="0" fillId="0" borderId="0" xfId="0" applyAlignment="1">
      <alignment wrapText="1"/>
    </xf>
    <xf numFmtId="0" fontId="2" fillId="0" borderId="1" xfId="0" applyFont="1" applyBorder="1" applyAlignment="1">
      <alignment horizontal="center" vertical="center" wrapText="1"/>
    </xf>
    <xf numFmtId="0" fontId="7" fillId="0" borderId="1" xfId="0" applyFont="1" applyBorder="1" applyAlignment="1">
      <alignment wrapText="1"/>
    </xf>
    <xf numFmtId="0" fontId="3" fillId="3" borderId="1" xfId="0" applyFont="1" applyFill="1" applyBorder="1" applyAlignment="1">
      <alignment horizontal="center" vertical="center" wrapText="1"/>
    </xf>
    <xf numFmtId="0" fontId="0" fillId="0" borderId="1" xfId="0" applyBorder="1" applyAlignment="1">
      <alignment horizontal="left" wrapText="1"/>
    </xf>
    <xf numFmtId="0" fontId="0" fillId="0" borderId="0" xfId="0" applyAlignment="1">
      <alignment horizontal="center" vertical="top"/>
    </xf>
    <xf numFmtId="0" fontId="2" fillId="0" borderId="1" xfId="0" applyFont="1" applyBorder="1" applyAlignment="1">
      <alignment horizontal="center" vertical="top"/>
    </xf>
    <xf numFmtId="0" fontId="4" fillId="0" borderId="1" xfId="0" applyFont="1" applyBorder="1" applyAlignment="1">
      <alignment horizontal="center" vertical="top"/>
    </xf>
    <xf numFmtId="0" fontId="0" fillId="2" borderId="1" xfId="0" applyFill="1" applyBorder="1" applyAlignment="1">
      <alignment horizontal="center" vertical="top"/>
    </xf>
    <xf numFmtId="0" fontId="2" fillId="2" borderId="1" xfId="0" applyFont="1" applyFill="1" applyBorder="1" applyAlignment="1">
      <alignment horizontal="center" vertical="top"/>
    </xf>
    <xf numFmtId="0" fontId="0" fillId="0" borderId="1" xfId="0" applyBorder="1" applyAlignment="1">
      <alignment horizontal="center" vertical="top"/>
    </xf>
    <xf numFmtId="2" fontId="0" fillId="0" borderId="1" xfId="0" applyNumberFormat="1" applyBorder="1" applyAlignment="1">
      <alignment horizontal="center" vertical="top"/>
    </xf>
    <xf numFmtId="0" fontId="2" fillId="5" borderId="1" xfId="0" applyFont="1" applyFill="1" applyBorder="1" applyAlignment="1">
      <alignment horizontal="center" vertical="top"/>
    </xf>
    <xf numFmtId="0" fontId="3" fillId="3" borderId="1" xfId="0" applyFont="1" applyFill="1" applyBorder="1" applyAlignment="1">
      <alignment horizontal="center" vertical="top"/>
    </xf>
    <xf numFmtId="0" fontId="2" fillId="0" borderId="1" xfId="0" applyFont="1" applyBorder="1" applyAlignment="1">
      <alignment horizontal="left" wrapText="1" indent="2"/>
    </xf>
    <xf numFmtId="0" fontId="2" fillId="4" borderId="1" xfId="0" applyFont="1" applyFill="1" applyBorder="1" applyAlignment="1">
      <alignment horizontal="left" wrapText="1" indent="2"/>
    </xf>
    <xf numFmtId="0" fontId="2" fillId="0" borderId="0" xfId="0" applyFont="1" applyAlignment="1">
      <alignment horizontal="center" vertical="top" wrapText="1"/>
    </xf>
    <xf numFmtId="0" fontId="2" fillId="0" borderId="2" xfId="0" applyFont="1" applyBorder="1" applyAlignment="1">
      <alignment horizontal="left" vertical="top" wrapText="1"/>
    </xf>
    <xf numFmtId="9" fontId="2" fillId="0" borderId="2" xfId="1" applyFont="1" applyBorder="1" applyAlignment="1">
      <alignment horizontal="center" vertical="center"/>
    </xf>
    <xf numFmtId="0" fontId="2" fillId="0" borderId="2" xfId="0" applyFont="1" applyBorder="1" applyAlignment="1">
      <alignment horizontal="center" vertical="center" wrapText="1"/>
    </xf>
    <xf numFmtId="0" fontId="8" fillId="6" borderId="2" xfId="0" applyFont="1" applyFill="1" applyBorder="1" applyAlignment="1">
      <alignment horizontal="left" vertical="top" wrapText="1"/>
    </xf>
    <xf numFmtId="9" fontId="8" fillId="6" borderId="2" xfId="1" applyFont="1" applyFill="1" applyBorder="1" applyAlignment="1">
      <alignment horizontal="center" vertical="center"/>
    </xf>
    <xf numFmtId="0" fontId="0" fillId="6" borderId="2" xfId="0" applyFill="1" applyBorder="1" applyAlignment="1">
      <alignment horizontal="left" vertical="top" wrapText="1"/>
    </xf>
    <xf numFmtId="0" fontId="8" fillId="0" borderId="2" xfId="0" applyFont="1" applyBorder="1" applyAlignment="1">
      <alignment horizontal="left" vertical="top" wrapText="1"/>
    </xf>
    <xf numFmtId="9" fontId="8" fillId="0" borderId="2" xfId="1" applyFont="1" applyBorder="1" applyAlignment="1">
      <alignment horizontal="center" vertical="center"/>
    </xf>
    <xf numFmtId="0" fontId="0" fillId="0" borderId="2" xfId="0" applyBorder="1" applyAlignment="1">
      <alignment horizontal="left" vertical="top" wrapText="1"/>
    </xf>
  </cellXfs>
  <cellStyles count="2">
    <cellStyle name="Normal" xfId="0" builtinId="0"/>
    <cellStyle name="Porcentaje" xfId="1" builtinId="5"/>
  </cellStyles>
  <dxfs count="1">
    <dxf>
      <numFmt numFmtId="13" formatCode="0%"/>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10" Type="http://schemas.openxmlformats.org/officeDocument/2006/relationships/customXml" Target="../customXml/item3.xml"/><Relationship Id="rId4" Type="http://schemas.openxmlformats.org/officeDocument/2006/relationships/theme" Target="theme/theme1.xml"/><Relationship Id="rId9" Type="http://schemas.openxmlformats.org/officeDocument/2006/relationships/customXml" Target="../customXml/item2.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344D35D2-2079-4B4C-AD79-8C19636BCEDD}" name="Table1" displayName="Table1" ref="A1:A7" totalsRowShown="0">
  <autoFilter ref="A1:A7" xr:uid="{344D35D2-2079-4B4C-AD79-8C19636BCEDD}"/>
  <tableColumns count="1">
    <tableColumn id="1" xr3:uid="{5649FC1A-9395-4076-AD8C-F424B3F6E8FF}" name="Pesos"/>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776FECEF-9A90-410F-9EF3-56DC684BCDC1}" name="Table2" displayName="Table2" ref="D1:D6" totalsRowShown="0">
  <autoFilter ref="D1:D6" xr:uid="{776FECEF-9A90-410F-9EF3-56DC684BCDC1}"/>
  <tableColumns count="1">
    <tableColumn id="1" xr3:uid="{0C5125C5-633A-4B4A-9BC4-1821D8FF54FC}" name="Completitud" dataDxfId="0"/>
  </tableColumns>
  <tableStyleInfo name="TableStyleMedium2" showFirstColumn="0" showLastColumn="0" showRowStripes="1" showColumnStripes="0"/>
</table>
</file>

<file path=xl/theme/theme1.xml><?xml version="1.0" encoding="utf-8"?>
<a:theme xmlns:a="http://schemas.openxmlformats.org/drawingml/2006/main" name="Tema de 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table" Target="../tables/table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AA52160-A78A-47A8-AD96-D898CE64E31A}">
  <sheetPr>
    <pageSetUpPr fitToPage="1"/>
  </sheetPr>
  <dimension ref="A2:C99"/>
  <sheetViews>
    <sheetView tabSelected="1" zoomScaleNormal="100" workbookViewId="0">
      <selection activeCell="A102" sqref="A102"/>
    </sheetView>
  </sheetViews>
  <sheetFormatPr baseColWidth="10" defaultColWidth="9.109375" defaultRowHeight="14.4" x14ac:dyDescent="0.3"/>
  <cols>
    <col min="1" max="1" width="64" style="7" customWidth="1"/>
    <col min="2" max="2" width="10.109375" style="12" customWidth="1"/>
    <col min="3" max="3" width="62.77734375" style="12" customWidth="1"/>
  </cols>
  <sheetData>
    <row r="2" spans="1:3" x14ac:dyDescent="0.3">
      <c r="A2" s="8" t="s">
        <v>0</v>
      </c>
      <c r="B2" s="13" t="s">
        <v>70</v>
      </c>
      <c r="C2" s="14" t="s">
        <v>2</v>
      </c>
    </row>
    <row r="3" spans="1:3" x14ac:dyDescent="0.3">
      <c r="A3" s="4" t="s">
        <v>3</v>
      </c>
      <c r="B3" s="15"/>
      <c r="C3" s="16"/>
    </row>
    <row r="4" spans="1:3" x14ac:dyDescent="0.3">
      <c r="A4" s="3" t="s">
        <v>4</v>
      </c>
      <c r="B4" s="17"/>
      <c r="C4" s="17"/>
    </row>
    <row r="5" spans="1:3" x14ac:dyDescent="0.3">
      <c r="A5" s="3" t="s">
        <v>71</v>
      </c>
      <c r="B5" s="17"/>
      <c r="C5" s="17"/>
    </row>
    <row r="6" spans="1:3" ht="28.8" x14ac:dyDescent="0.3">
      <c r="A6" s="2" t="s">
        <v>5</v>
      </c>
      <c r="B6" s="17"/>
      <c r="C6" s="17"/>
    </row>
    <row r="7" spans="1:3" x14ac:dyDescent="0.3">
      <c r="A7" s="3" t="s">
        <v>6</v>
      </c>
      <c r="B7" s="17"/>
      <c r="C7" s="17"/>
    </row>
    <row r="8" spans="1:3" x14ac:dyDescent="0.3">
      <c r="A8" s="4" t="s">
        <v>7</v>
      </c>
      <c r="B8" s="15"/>
      <c r="C8" s="16"/>
    </row>
    <row r="9" spans="1:3" x14ac:dyDescent="0.3">
      <c r="A9" s="5" t="s">
        <v>8</v>
      </c>
      <c r="B9" s="17"/>
      <c r="C9" s="17"/>
    </row>
    <row r="10" spans="1:3" x14ac:dyDescent="0.3">
      <c r="A10" s="11" t="s">
        <v>9</v>
      </c>
      <c r="B10" s="17"/>
      <c r="C10" s="17"/>
    </row>
    <row r="11" spans="1:3" x14ac:dyDescent="0.3">
      <c r="A11" s="11" t="s">
        <v>10</v>
      </c>
      <c r="B11" s="17"/>
      <c r="C11" s="17"/>
    </row>
    <row r="12" spans="1:3" ht="28.8" x14ac:dyDescent="0.3">
      <c r="A12" s="11" t="s">
        <v>72</v>
      </c>
      <c r="B12" s="17"/>
      <c r="C12" s="17"/>
    </row>
    <row r="13" spans="1:3" x14ac:dyDescent="0.3">
      <c r="A13" s="11" t="s">
        <v>11</v>
      </c>
      <c r="B13" s="17"/>
      <c r="C13" s="17"/>
    </row>
    <row r="14" spans="1:3" x14ac:dyDescent="0.3">
      <c r="A14" s="11" t="s">
        <v>12</v>
      </c>
      <c r="B14" s="17"/>
      <c r="C14" s="17"/>
    </row>
    <row r="15" spans="1:3" x14ac:dyDescent="0.3">
      <c r="A15" s="11" t="s">
        <v>13</v>
      </c>
      <c r="B15" s="17"/>
      <c r="C15" s="17"/>
    </row>
    <row r="16" spans="1:3" x14ac:dyDescent="0.3">
      <c r="A16" s="11" t="s">
        <v>14</v>
      </c>
      <c r="B16" s="17"/>
      <c r="C16" s="17"/>
    </row>
    <row r="17" spans="1:3" x14ac:dyDescent="0.3">
      <c r="A17" s="11" t="s">
        <v>73</v>
      </c>
      <c r="B17" s="17"/>
      <c r="C17" s="18"/>
    </row>
    <row r="18" spans="1:3" x14ac:dyDescent="0.3">
      <c r="A18" s="11" t="s">
        <v>15</v>
      </c>
      <c r="B18" s="17"/>
      <c r="C18" s="18"/>
    </row>
    <row r="19" spans="1:3" ht="28.8" x14ac:dyDescent="0.3">
      <c r="A19" s="11" t="s">
        <v>16</v>
      </c>
      <c r="B19" s="17"/>
      <c r="C19" s="18"/>
    </row>
    <row r="20" spans="1:3" ht="28.8" x14ac:dyDescent="0.3">
      <c r="A20" s="11" t="s">
        <v>17</v>
      </c>
      <c r="B20" s="17"/>
      <c r="C20" s="18"/>
    </row>
    <row r="21" spans="1:3" ht="43.2" x14ac:dyDescent="0.3">
      <c r="A21" s="11" t="s">
        <v>18</v>
      </c>
      <c r="B21" s="17"/>
      <c r="C21" s="18"/>
    </row>
    <row r="22" spans="1:3" x14ac:dyDescent="0.3">
      <c r="A22" s="4" t="s">
        <v>19</v>
      </c>
      <c r="B22" s="15"/>
      <c r="C22" s="16"/>
    </row>
    <row r="23" spans="1:3" x14ac:dyDescent="0.3">
      <c r="A23" s="3" t="s">
        <v>20</v>
      </c>
      <c r="B23" s="17"/>
      <c r="C23" s="17"/>
    </row>
    <row r="24" spans="1:3" ht="57.6" x14ac:dyDescent="0.3">
      <c r="A24" s="3" t="s">
        <v>21</v>
      </c>
      <c r="B24" s="17"/>
      <c r="C24" s="17"/>
    </row>
    <row r="25" spans="1:3" ht="28.8" x14ac:dyDescent="0.3">
      <c r="A25" s="3" t="s">
        <v>22</v>
      </c>
      <c r="B25" s="17"/>
      <c r="C25" s="17"/>
    </row>
    <row r="26" spans="1:3" ht="29.25" customHeight="1" x14ac:dyDescent="0.3">
      <c r="A26" s="3" t="s">
        <v>23</v>
      </c>
      <c r="B26" s="17"/>
      <c r="C26" s="17"/>
    </row>
    <row r="27" spans="1:3" x14ac:dyDescent="0.3">
      <c r="A27" s="4" t="s">
        <v>24</v>
      </c>
      <c r="B27" s="15"/>
      <c r="C27" s="16"/>
    </row>
    <row r="28" spans="1:3" ht="28.8" x14ac:dyDescent="0.3">
      <c r="A28" s="3" t="s">
        <v>25</v>
      </c>
      <c r="B28" s="17"/>
      <c r="C28" s="17"/>
    </row>
    <row r="29" spans="1:3" ht="13.5" customHeight="1" x14ac:dyDescent="0.3">
      <c r="A29" s="3" t="s">
        <v>26</v>
      </c>
      <c r="B29" s="17"/>
      <c r="C29" s="17"/>
    </row>
    <row r="30" spans="1:3" ht="28.5" customHeight="1" x14ac:dyDescent="0.3">
      <c r="A30" s="3" t="s">
        <v>27</v>
      </c>
      <c r="B30" s="17"/>
      <c r="C30" s="17"/>
    </row>
    <row r="31" spans="1:3" ht="16.8" customHeight="1" x14ac:dyDescent="0.3">
      <c r="A31" s="3"/>
      <c r="B31" s="17"/>
      <c r="C31" s="17"/>
    </row>
    <row r="32" spans="1:3" x14ac:dyDescent="0.3">
      <c r="A32" s="3" t="s">
        <v>28</v>
      </c>
      <c r="B32" s="17"/>
      <c r="C32" s="17"/>
    </row>
    <row r="33" spans="1:3" x14ac:dyDescent="0.3">
      <c r="A33" s="3" t="s">
        <v>29</v>
      </c>
      <c r="B33" s="17"/>
      <c r="C33" s="17"/>
    </row>
    <row r="34" spans="1:3" x14ac:dyDescent="0.3">
      <c r="A34" s="3" t="s">
        <v>30</v>
      </c>
      <c r="B34" s="17"/>
      <c r="C34" s="17"/>
    </row>
    <row r="35" spans="1:3" x14ac:dyDescent="0.3">
      <c r="A35" s="4" t="s">
        <v>31</v>
      </c>
      <c r="B35" s="15"/>
      <c r="C35" s="16"/>
    </row>
    <row r="36" spans="1:3" ht="43.2" x14ac:dyDescent="0.3">
      <c r="A36" s="6" t="s">
        <v>32</v>
      </c>
      <c r="B36" s="17"/>
      <c r="C36" s="17"/>
    </row>
    <row r="37" spans="1:3" x14ac:dyDescent="0.3">
      <c r="A37" s="6" t="s">
        <v>33</v>
      </c>
      <c r="B37" s="17"/>
      <c r="C37" s="17"/>
    </row>
    <row r="38" spans="1:3" ht="28.8" x14ac:dyDescent="0.3">
      <c r="A38" s="3" t="s">
        <v>34</v>
      </c>
      <c r="B38" s="17"/>
      <c r="C38" s="17"/>
    </row>
    <row r="39" spans="1:3" x14ac:dyDescent="0.3">
      <c r="A39" s="3"/>
      <c r="B39" s="17"/>
      <c r="C39" s="17"/>
    </row>
    <row r="40" spans="1:3" ht="28.8" x14ac:dyDescent="0.3">
      <c r="A40" s="3" t="s">
        <v>35</v>
      </c>
      <c r="B40" s="17"/>
      <c r="C40" s="17"/>
    </row>
    <row r="41" spans="1:3" ht="28.8" x14ac:dyDescent="0.3">
      <c r="A41" s="3" t="s">
        <v>36</v>
      </c>
      <c r="B41" s="17"/>
      <c r="C41" s="17"/>
    </row>
    <row r="42" spans="1:3" x14ac:dyDescent="0.3">
      <c r="A42" s="4" t="s">
        <v>37</v>
      </c>
      <c r="B42" s="15"/>
      <c r="C42" s="16"/>
    </row>
    <row r="43" spans="1:3" ht="28.8" x14ac:dyDescent="0.3">
      <c r="A43" s="3" t="s">
        <v>38</v>
      </c>
      <c r="B43" s="17"/>
      <c r="C43" s="17"/>
    </row>
    <row r="44" spans="1:3" ht="28.8" x14ac:dyDescent="0.3">
      <c r="A44" s="3" t="s">
        <v>39</v>
      </c>
      <c r="B44" s="17"/>
      <c r="C44" s="17"/>
    </row>
    <row r="45" spans="1:3" x14ac:dyDescent="0.3">
      <c r="A45" s="3" t="s">
        <v>40</v>
      </c>
      <c r="B45" s="17"/>
      <c r="C45" s="17"/>
    </row>
    <row r="46" spans="1:3" x14ac:dyDescent="0.3">
      <c r="A46" s="3" t="s">
        <v>41</v>
      </c>
      <c r="B46" s="17"/>
      <c r="C46" s="17"/>
    </row>
    <row r="47" spans="1:3" x14ac:dyDescent="0.3">
      <c r="A47" s="3" t="s">
        <v>42</v>
      </c>
      <c r="B47" s="17"/>
      <c r="C47" s="17"/>
    </row>
    <row r="48" spans="1:3" x14ac:dyDescent="0.3">
      <c r="A48" s="3" t="s">
        <v>43</v>
      </c>
      <c r="B48" s="17"/>
      <c r="C48" s="17"/>
    </row>
    <row r="49" spans="1:3" ht="57.6" x14ac:dyDescent="0.3">
      <c r="A49" s="3" t="s">
        <v>44</v>
      </c>
      <c r="B49" s="17"/>
      <c r="C49" s="17"/>
    </row>
    <row r="50" spans="1:3" x14ac:dyDescent="0.3">
      <c r="A50" s="4" t="s">
        <v>45</v>
      </c>
      <c r="B50" s="15"/>
      <c r="C50" s="16"/>
    </row>
    <row r="51" spans="1:3" ht="43.2" x14ac:dyDescent="0.3">
      <c r="A51" s="3" t="s">
        <v>46</v>
      </c>
      <c r="B51" s="17"/>
      <c r="C51" s="17"/>
    </row>
    <row r="52" spans="1:3" ht="28.8" x14ac:dyDescent="0.3">
      <c r="A52" s="3" t="s">
        <v>74</v>
      </c>
      <c r="B52" s="17"/>
      <c r="C52" s="17"/>
    </row>
    <row r="53" spans="1:3" x14ac:dyDescent="0.3">
      <c r="A53" s="3" t="s">
        <v>75</v>
      </c>
      <c r="B53" s="17"/>
      <c r="C53" s="17"/>
    </row>
    <row r="54" spans="1:3" ht="28.8" x14ac:dyDescent="0.3">
      <c r="A54" s="3" t="s">
        <v>47</v>
      </c>
      <c r="B54" s="17"/>
      <c r="C54" s="17"/>
    </row>
    <row r="55" spans="1:3" ht="28.8" x14ac:dyDescent="0.3">
      <c r="A55" s="3" t="s">
        <v>48</v>
      </c>
      <c r="B55" s="17"/>
      <c r="C55" s="17"/>
    </row>
    <row r="56" spans="1:3" x14ac:dyDescent="0.3">
      <c r="A56" s="4" t="s">
        <v>49</v>
      </c>
      <c r="B56" s="15"/>
      <c r="C56" s="16"/>
    </row>
    <row r="57" spans="1:3" x14ac:dyDescent="0.3">
      <c r="A57" s="3" t="s">
        <v>50</v>
      </c>
      <c r="B57" s="17"/>
      <c r="C57" s="17"/>
    </row>
    <row r="58" spans="1:3" ht="28.8" x14ac:dyDescent="0.3">
      <c r="A58" s="3" t="s">
        <v>51</v>
      </c>
      <c r="B58" s="17"/>
      <c r="C58" s="17"/>
    </row>
    <row r="59" spans="1:3" x14ac:dyDescent="0.3">
      <c r="A59" s="3" t="s">
        <v>52</v>
      </c>
      <c r="B59" s="17"/>
      <c r="C59" s="17"/>
    </row>
    <row r="60" spans="1:3" x14ac:dyDescent="0.3">
      <c r="A60" s="3" t="s">
        <v>76</v>
      </c>
      <c r="B60" s="17"/>
      <c r="C60" s="17"/>
    </row>
    <row r="61" spans="1:3" x14ac:dyDescent="0.3">
      <c r="A61" s="4" t="s">
        <v>78</v>
      </c>
      <c r="B61" s="15"/>
      <c r="C61" s="16"/>
    </row>
    <row r="62" spans="1:3" x14ac:dyDescent="0.3">
      <c r="A62" s="3" t="s">
        <v>53</v>
      </c>
      <c r="B62" s="17"/>
      <c r="C62" s="17"/>
    </row>
    <row r="63" spans="1:3" x14ac:dyDescent="0.3">
      <c r="A63" s="3" t="s">
        <v>79</v>
      </c>
      <c r="B63" s="17"/>
      <c r="C63" s="17"/>
    </row>
    <row r="64" spans="1:3" x14ac:dyDescent="0.3">
      <c r="A64" s="3" t="s">
        <v>80</v>
      </c>
      <c r="B64" s="17"/>
      <c r="C64" s="17"/>
    </row>
    <row r="65" spans="1:3" x14ac:dyDescent="0.3">
      <c r="A65" s="3" t="s">
        <v>54</v>
      </c>
      <c r="B65" s="17"/>
      <c r="C65" s="17"/>
    </row>
    <row r="66" spans="1:3" x14ac:dyDescent="0.3">
      <c r="A66" s="3" t="s">
        <v>55</v>
      </c>
      <c r="B66" s="17"/>
      <c r="C66" s="17"/>
    </row>
    <row r="67" spans="1:3" x14ac:dyDescent="0.3">
      <c r="A67" s="4" t="s">
        <v>77</v>
      </c>
      <c r="B67" s="15"/>
      <c r="C67" s="16"/>
    </row>
    <row r="68" spans="1:3" x14ac:dyDescent="0.3">
      <c r="A68" s="3" t="s">
        <v>53</v>
      </c>
      <c r="B68" s="17"/>
      <c r="C68" s="19"/>
    </row>
    <row r="69" spans="1:3" x14ac:dyDescent="0.3">
      <c r="A69" s="3" t="s">
        <v>79</v>
      </c>
      <c r="B69" s="17"/>
      <c r="C69" s="17"/>
    </row>
    <row r="70" spans="1:3" x14ac:dyDescent="0.3">
      <c r="A70" s="3" t="s">
        <v>54</v>
      </c>
      <c r="B70" s="17"/>
      <c r="C70" s="17"/>
    </row>
    <row r="71" spans="1:3" x14ac:dyDescent="0.3">
      <c r="A71" s="21" t="s">
        <v>56</v>
      </c>
      <c r="B71" s="17"/>
      <c r="C71" s="17"/>
    </row>
    <row r="72" spans="1:3" x14ac:dyDescent="0.3">
      <c r="A72" s="22" t="s">
        <v>57</v>
      </c>
      <c r="B72" s="17"/>
      <c r="C72" s="17"/>
    </row>
    <row r="73" spans="1:3" x14ac:dyDescent="0.3">
      <c r="A73" s="22" t="s">
        <v>58</v>
      </c>
      <c r="B73" s="17"/>
      <c r="C73" s="17"/>
    </row>
    <row r="74" spans="1:3" x14ac:dyDescent="0.3">
      <c r="A74" s="22" t="s">
        <v>59</v>
      </c>
      <c r="B74" s="17"/>
      <c r="C74" s="17"/>
    </row>
    <row r="75" spans="1:3" x14ac:dyDescent="0.3">
      <c r="A75" s="22" t="s">
        <v>60</v>
      </c>
      <c r="B75" s="17"/>
      <c r="C75" s="17"/>
    </row>
    <row r="76" spans="1:3" x14ac:dyDescent="0.3">
      <c r="A76" s="4" t="s">
        <v>61</v>
      </c>
      <c r="B76" s="15"/>
      <c r="C76" s="16"/>
    </row>
    <row r="77" spans="1:3" ht="18.75" customHeight="1" x14ac:dyDescent="0.3">
      <c r="A77" s="3" t="s">
        <v>53</v>
      </c>
      <c r="B77" s="17"/>
      <c r="C77" s="17"/>
    </row>
    <row r="78" spans="1:3" x14ac:dyDescent="0.3">
      <c r="A78" s="3" t="s">
        <v>79</v>
      </c>
      <c r="B78" s="17"/>
      <c r="C78" s="17"/>
    </row>
    <row r="79" spans="1:3" x14ac:dyDescent="0.3">
      <c r="A79" s="3" t="s">
        <v>54</v>
      </c>
      <c r="B79" s="17"/>
      <c r="C79" s="17"/>
    </row>
    <row r="80" spans="1:3" x14ac:dyDescent="0.3">
      <c r="A80" s="4" t="s">
        <v>62</v>
      </c>
      <c r="B80" s="15"/>
      <c r="C80" s="16"/>
    </row>
    <row r="81" spans="1:3" ht="18.75" customHeight="1" x14ac:dyDescent="0.3">
      <c r="A81" s="3" t="s">
        <v>53</v>
      </c>
      <c r="B81" s="17"/>
      <c r="C81" s="17"/>
    </row>
    <row r="82" spans="1:3" ht="15.75" customHeight="1" x14ac:dyDescent="0.3">
      <c r="A82" s="3" t="s">
        <v>79</v>
      </c>
      <c r="B82" s="17"/>
      <c r="C82" s="17"/>
    </row>
    <row r="83" spans="1:3" x14ac:dyDescent="0.3">
      <c r="A83" s="3" t="s">
        <v>54</v>
      </c>
      <c r="B83" s="17"/>
      <c r="C83" s="17"/>
    </row>
    <row r="84" spans="1:3" x14ac:dyDescent="0.3">
      <c r="A84" s="4" t="s">
        <v>63</v>
      </c>
      <c r="B84" s="15"/>
      <c r="C84" s="16"/>
    </row>
    <row r="85" spans="1:3" ht="15.75" customHeight="1" x14ac:dyDescent="0.3">
      <c r="A85" s="3" t="s">
        <v>53</v>
      </c>
      <c r="B85" s="17"/>
      <c r="C85" s="17"/>
    </row>
    <row r="86" spans="1:3" x14ac:dyDescent="0.3">
      <c r="A86" s="3" t="s">
        <v>79</v>
      </c>
      <c r="B86" s="17"/>
      <c r="C86" s="17"/>
    </row>
    <row r="87" spans="1:3" x14ac:dyDescent="0.3">
      <c r="A87" s="3" t="s">
        <v>54</v>
      </c>
      <c r="B87" s="17"/>
      <c r="C87" s="17"/>
    </row>
    <row r="88" spans="1:3" ht="28.8" x14ac:dyDescent="0.3">
      <c r="A88" s="4" t="s">
        <v>64</v>
      </c>
      <c r="B88" s="15"/>
      <c r="C88" s="16"/>
    </row>
    <row r="89" spans="1:3" ht="18.75" customHeight="1" x14ac:dyDescent="0.3">
      <c r="A89" s="3" t="s">
        <v>53</v>
      </c>
      <c r="B89" s="17"/>
      <c r="C89" s="17"/>
    </row>
    <row r="90" spans="1:3" ht="15.75" customHeight="1" x14ac:dyDescent="0.3">
      <c r="A90" s="3" t="s">
        <v>79</v>
      </c>
      <c r="B90" s="17"/>
      <c r="C90" s="17"/>
    </row>
    <row r="91" spans="1:3" x14ac:dyDescent="0.3">
      <c r="A91" s="3" t="s">
        <v>54</v>
      </c>
      <c r="B91" s="17"/>
      <c r="C91" s="17"/>
    </row>
    <row r="92" spans="1:3" x14ac:dyDescent="0.3">
      <c r="A92" s="4" t="s">
        <v>65</v>
      </c>
      <c r="B92" s="15"/>
      <c r="C92" s="16"/>
    </row>
    <row r="93" spans="1:3" ht="41.4" customHeight="1" x14ac:dyDescent="0.3">
      <c r="A93" s="9" t="s">
        <v>81</v>
      </c>
      <c r="B93" s="17"/>
      <c r="C93" s="17"/>
    </row>
    <row r="94" spans="1:3" ht="57.75" customHeight="1" x14ac:dyDescent="0.3">
      <c r="A94" s="9" t="s">
        <v>66</v>
      </c>
      <c r="B94" s="17"/>
      <c r="C94" s="17"/>
    </row>
    <row r="95" spans="1:3" ht="29.25" customHeight="1" x14ac:dyDescent="0.3">
      <c r="A95" s="9" t="s">
        <v>67</v>
      </c>
      <c r="B95" s="17"/>
      <c r="C95" s="17"/>
    </row>
    <row r="96" spans="1:3" x14ac:dyDescent="0.3">
      <c r="A96" s="3" t="s">
        <v>53</v>
      </c>
      <c r="B96" s="17"/>
      <c r="C96" s="17"/>
    </row>
    <row r="97" spans="1:3" x14ac:dyDescent="0.3">
      <c r="A97" s="3" t="s">
        <v>79</v>
      </c>
      <c r="B97" s="17"/>
      <c r="C97" s="17"/>
    </row>
    <row r="98" spans="1:3" x14ac:dyDescent="0.3">
      <c r="A98" s="3" t="s">
        <v>54</v>
      </c>
      <c r="B98" s="17"/>
      <c r="C98" s="17"/>
    </row>
    <row r="99" spans="1:3" ht="21.75" customHeight="1" x14ac:dyDescent="0.3">
      <c r="A99" s="10" t="s">
        <v>68</v>
      </c>
      <c r="B99" s="20"/>
      <c r="C99" s="17"/>
    </row>
  </sheetData>
  <pageMargins left="0.70866141732283472" right="0.70866141732283472" top="0.74803149606299213" bottom="0.74803149606299213" header="0.31496062992125984" footer="0.31496062992125984"/>
  <pageSetup paperSize="9" scale="43" orientation="portrait" r:id="rId1"/>
  <headerFooter>
    <oddHeader>&amp;LChecklist Obligatorio 1 P3 - Fecha de entrega en gestión del obligatorio: 13/10/2022</oddHeader>
  </headerFooter>
  <colBreaks count="1" manualBreakCount="1">
    <brk id="1" max="1048575" man="1"/>
  </colBreak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96E0F82-71D4-4617-993B-B07A7FE12C12}">
  <dimension ref="A1:C140"/>
  <sheetViews>
    <sheetView view="pageBreakPreview" topLeftCell="A84" zoomScale="60" zoomScaleNormal="100" workbookViewId="0">
      <selection activeCell="A95" sqref="A95"/>
    </sheetView>
  </sheetViews>
  <sheetFormatPr baseColWidth="10" defaultColWidth="8.88671875" defaultRowHeight="14.4" x14ac:dyDescent="0.3"/>
  <cols>
    <col min="1" max="1" width="48.33203125" customWidth="1"/>
    <col min="2" max="2" width="12.109375" bestFit="1" customWidth="1"/>
    <col min="3" max="3" width="46.6640625" customWidth="1"/>
  </cols>
  <sheetData>
    <row r="1" spans="1:3" x14ac:dyDescent="0.3">
      <c r="A1" s="24" t="str">
        <f>Checklist!A2</f>
        <v>Item</v>
      </c>
      <c r="B1" s="25" t="e">
        <f>Checklist!#REF!</f>
        <v>#REF!</v>
      </c>
      <c r="C1" s="26" t="str">
        <f>Checklist!C2</f>
        <v>Comentarios</v>
      </c>
    </row>
    <row r="2" spans="1:3" x14ac:dyDescent="0.3">
      <c r="A2" s="27" t="str">
        <f>Checklist!A3</f>
        <v>Varios</v>
      </c>
      <c r="B2" s="28"/>
      <c r="C2" s="29"/>
    </row>
    <row r="3" spans="1:3" x14ac:dyDescent="0.3">
      <c r="A3" s="30" t="str">
        <f>Checklist!A4</f>
        <v>Datos de prueba (scripts con insert en la BD o equivalente)</v>
      </c>
      <c r="B3" s="31" t="e">
        <f>Checklist!#REF!</f>
        <v>#REF!</v>
      </c>
      <c r="C3" s="32" t="str">
        <f>IF(EXACT(Checklist!C4,""),"--",Checklist!C4)</f>
        <v>--</v>
      </c>
    </row>
    <row r="4" spans="1:3" ht="24" x14ac:dyDescent="0.3">
      <c r="A4" s="30" t="str">
        <f>Checklist!A6</f>
        <v>Obligatoriamente: Al menos 10 instancias de cada entidad. Datos suficientes para probar todos los requerimientos. (usuarios 3).</v>
      </c>
      <c r="B4" s="31" t="e">
        <f>Checklist!#REF!</f>
        <v>#REF!</v>
      </c>
      <c r="C4" s="32" t="str">
        <f>IF(EXACT(Checklist!C6,""),"--",Checklist!C6)</f>
        <v>--</v>
      </c>
    </row>
    <row r="5" spans="1:3" x14ac:dyDescent="0.3">
      <c r="A5" s="30" t="str">
        <f>Checklist!A7</f>
        <v>Implementado en VS 2022, .NET 7, EF 7</v>
      </c>
      <c r="B5" s="31" t="e">
        <f>Checklist!#REF!</f>
        <v>#REF!</v>
      </c>
      <c r="C5" s="32" t="str">
        <f>IF(EXACT(Checklist!C7,""),"--",Checklist!C7)</f>
        <v>--</v>
      </c>
    </row>
    <row r="6" spans="1:3" x14ac:dyDescent="0.3">
      <c r="A6" s="27" t="str">
        <f>Checklist!A8</f>
        <v>Documentación</v>
      </c>
      <c r="B6" s="27"/>
      <c r="C6" s="27"/>
    </row>
    <row r="7" spans="1:3" x14ac:dyDescent="0.3">
      <c r="A7" s="30" t="str">
        <f>Checklist!A9</f>
        <v>PDF único</v>
      </c>
      <c r="B7" s="31" t="e">
        <f>Checklist!#REF!</f>
        <v>#REF!</v>
      </c>
      <c r="C7" s="32" t="str">
        <f>IF(EXACT(Checklist!C9,""),"--",Checklist!C9)</f>
        <v>--</v>
      </c>
    </row>
    <row r="8" spans="1:3" x14ac:dyDescent="0.3">
      <c r="A8" s="30" t="str">
        <f>Checklist!A10</f>
        <v>Carátula con nombre, número y foto de los integrantes del equipo.</v>
      </c>
      <c r="B8" s="31" t="e">
        <f>Checklist!#REF!</f>
        <v>#REF!</v>
      </c>
      <c r="C8" s="32" t="str">
        <f>IF(EXACT(Checklist!C10,""),"--",Checklist!C10)</f>
        <v>--</v>
      </c>
    </row>
    <row r="9" spans="1:3" ht="24" x14ac:dyDescent="0.3">
      <c r="A9" s="30" t="str">
        <f>Checklist!A11</f>
        <v>Incluye diagrama de casos de uso con requerimientos actuales y anteriores.</v>
      </c>
      <c r="B9" s="31" t="e">
        <f>Checklist!#REF!</f>
        <v>#REF!</v>
      </c>
      <c r="C9" s="32" t="str">
        <f>IF(EXACT(Checklist!C11,""),"--",Checklist!C11)</f>
        <v>--</v>
      </c>
    </row>
    <row r="10" spans="1:3" ht="24" x14ac:dyDescent="0.3">
      <c r="A10" s="30" t="str">
        <f>Checklist!A12</f>
        <v>Diagrama de clases dominio completo incluyendo interfaces (IValidable, etc.) y las interfaces de repositorios.</v>
      </c>
      <c r="B10" s="31" t="e">
        <f>Checklist!#REF!</f>
        <v>#REF!</v>
      </c>
      <c r="C10" s="32" t="str">
        <f>IF(EXACT(Checklist!C12,""),"--",Checklist!C12)</f>
        <v>--</v>
      </c>
    </row>
    <row r="11" spans="1:3" x14ac:dyDescent="0.3">
      <c r="A11" s="30" t="str">
        <f>Checklist!A13</f>
        <v>Diagrama de interfaces de casos de uso (Capa de aplicación).</v>
      </c>
      <c r="B11" s="31" t="e">
        <f>Checklist!#REF!</f>
        <v>#REF!</v>
      </c>
      <c r="C11" s="32" t="str">
        <f>IF(EXACT(Checklist!C13,""),"--",Checklist!C13)</f>
        <v>--</v>
      </c>
    </row>
    <row r="12" spans="1:3" x14ac:dyDescent="0.3">
      <c r="A12" s="30" t="str">
        <f>Checklist!A14</f>
        <v>Diagrama con los DTOS utilizados</v>
      </c>
      <c r="B12" s="31" t="e">
        <f>Checklist!#REF!</f>
        <v>#REF!</v>
      </c>
      <c r="C12" s="32" t="str">
        <f>IF(EXACT(Checklist!C14,""),"--",Checklist!C14)</f>
        <v>--</v>
      </c>
    </row>
    <row r="13" spans="1:3" x14ac:dyDescent="0.3">
      <c r="A13" s="30" t="str">
        <f>Checklist!A15</f>
        <v>Diagrama de repositorios indicando la interfaz que realizan.</v>
      </c>
      <c r="B13" s="31" t="e">
        <f>Checklist!#REF!</f>
        <v>#REF!</v>
      </c>
      <c r="C13" s="32" t="str">
        <f>IF(EXACT(Checklist!C15,""),"--",Checklist!C15)</f>
        <v>--</v>
      </c>
    </row>
    <row r="14" spans="1:3" x14ac:dyDescent="0.3">
      <c r="A14" s="30" t="str">
        <f>Checklist!A16</f>
        <v>Diagrama de servicios web api.</v>
      </c>
      <c r="B14" s="31" t="e">
        <f>Checklist!#REF!</f>
        <v>#REF!</v>
      </c>
      <c r="C14" s="32" t="str">
        <f>IF(EXACT(Checklist!C16,""),"--",Checklist!C16)</f>
        <v>--</v>
      </c>
    </row>
    <row r="15" spans="1:3" x14ac:dyDescent="0.3">
      <c r="A15" s="30" t="str">
        <f>Checklist!A17</f>
        <v>Diagrama clases cliente MVC que consume la api.</v>
      </c>
      <c r="B15" s="31" t="e">
        <f>Checklist!#REF!</f>
        <v>#REF!</v>
      </c>
      <c r="C15" s="32" t="str">
        <f>IF(EXACT(Checklist!C17,""),"--",Checklist!C17)</f>
        <v>--</v>
      </c>
    </row>
    <row r="16" spans="1:3" x14ac:dyDescent="0.3">
      <c r="A16" s="30" t="str">
        <f>Checklist!A18</f>
        <v>Archivo Astah que incluya todos los diagramas anteriores.</v>
      </c>
      <c r="B16" s="31" t="e">
        <f>Checklist!#REF!</f>
        <v>#REF!</v>
      </c>
      <c r="C16" s="32" t="str">
        <f>IF(EXACT(Checklist!C18,""),"--",Checklist!C18)</f>
        <v>--</v>
      </c>
    </row>
    <row r="17" spans="1:3" ht="24" x14ac:dyDescent="0.3">
      <c r="A17" s="30" t="str">
        <f>Checklist!A19</f>
        <v>Scripts de la base de datos incluyendo esquema e inserts para datos de prueba.</v>
      </c>
      <c r="B17" s="31" t="e">
        <f>Checklist!#REF!</f>
        <v>#REF!</v>
      </c>
      <c r="C17" s="32" t="str">
        <f>IF(EXACT(Checklist!C19,""),"--",Checklist!C19)</f>
        <v>--</v>
      </c>
    </row>
    <row r="18" spans="1:3" ht="36" x14ac:dyDescent="0.3">
      <c r="A18" s="30" t="str">
        <f>Checklist!A20</f>
        <v>Carpeta con imágenes para testear alta de cabaña (no las ya asignadas a cabaña, imágenes extra en carpeta aparte para probar el alta).</v>
      </c>
      <c r="B18" s="31" t="e">
        <f>Checklist!#REF!</f>
        <v>#REF!</v>
      </c>
      <c r="C18" s="32" t="str">
        <f>IF(EXACT(Checklist!C20,""),"--",Checklist!C20)</f>
        <v>--</v>
      </c>
    </row>
    <row r="19" spans="1:3" ht="48" x14ac:dyDescent="0.3">
      <c r="A19" s="30" t="str">
        <f>Checklist!A21</f>
        <v>Sugerencia: aunque no se solicita en la letra, incluir el código fuente de todas las clases de todos los proyectos como constancia para el caso de que se produzcan inconvenientes por errores de subida a Gestión del proyecto.</v>
      </c>
      <c r="B19" s="31" t="e">
        <f>Checklist!#REF!</f>
        <v>#REF!</v>
      </c>
      <c r="C19" s="32" t="str">
        <f>IF(EXACT(Checklist!C21,""),"--",Checklist!C21)</f>
        <v>--</v>
      </c>
    </row>
    <row r="20" spans="1:3" x14ac:dyDescent="0.3">
      <c r="A20" s="27" t="str">
        <f>Checklist!A22</f>
        <v>Arquitectura limpia</v>
      </c>
      <c r="B20" s="27"/>
      <c r="C20" s="27"/>
    </row>
    <row r="21" spans="1:3" x14ac:dyDescent="0.3">
      <c r="A21" s="30" t="str">
        <f>Checklist!A23</f>
        <v>El dominio es el núcleo (no conoce demás capas)</v>
      </c>
      <c r="B21" s="31" t="e">
        <f>Checklist!#REF!</f>
        <v>#REF!</v>
      </c>
      <c r="C21" s="32" t="str">
        <f>IF(EXACT(Checklist!C23,""),"--",Checklist!C23)</f>
        <v>--</v>
      </c>
    </row>
    <row r="22" spans="1:3" ht="60" x14ac:dyDescent="0.3">
      <c r="A22" s="30" t="str">
        <f>Checklist!A24</f>
        <v>Todas las dependencias entre capas se resuelven mediante inyección de dependencias. Cada capa conoce solamente las interfaces de las capas más internas. Se exceptúan los objetos del dominio, que pueden ser accedidos desde los repositorios y la capa de aplicación.</v>
      </c>
      <c r="B22" s="31" t="e">
        <f>Checklist!#REF!</f>
        <v>#REF!</v>
      </c>
      <c r="C22" s="32" t="str">
        <f>IF(EXACT(Checklist!C24,""),"--",Checklist!C24)</f>
        <v>--</v>
      </c>
    </row>
    <row r="23" spans="1:3" ht="24" x14ac:dyDescent="0.3">
      <c r="A23" s="30" t="str">
        <f>Checklist!A25</f>
        <v>Utiliza DTOs para exponer la información desde la webapi (la api retorna y recibe DTOs, nunca objetos de dominio).</v>
      </c>
      <c r="B23" s="31" t="e">
        <f>Checklist!#REF!</f>
        <v>#REF!</v>
      </c>
      <c r="C23" s="32" t="str">
        <f>IF(EXACT(Checklist!C25,""),"--",Checklist!C25)</f>
        <v>--</v>
      </c>
    </row>
    <row r="24" spans="1:3" ht="24" x14ac:dyDescent="0.3">
      <c r="A24" s="30" t="str">
        <f>Checklist!A26</f>
        <v>Incluye capa lógica de negocio (dominio) capa de datos (repositorios implementados en EF), capa de aplicación ( casos de uso), webapi.</v>
      </c>
      <c r="B24" s="31" t="e">
        <f>Checklist!#REF!</f>
        <v>#REF!</v>
      </c>
      <c r="C24" s="32" t="str">
        <f>IF(EXACT(Checklist!C26,""),"--",Checklist!C26)</f>
        <v>--</v>
      </c>
    </row>
    <row r="25" spans="1:3" x14ac:dyDescent="0.3">
      <c r="A25" s="27" t="str">
        <f>Checklist!A27</f>
        <v>Adaptación de la capa de negocio</v>
      </c>
      <c r="B25" s="27"/>
      <c r="C25" s="27"/>
    </row>
    <row r="26" spans="1:3" ht="24" x14ac:dyDescent="0.3">
      <c r="A26" s="30" t="str">
        <f>Checklist!A28</f>
        <v>Cada clase cumple con sus responsabilidades, y solo con las que les corresponde.</v>
      </c>
      <c r="B26" s="31" t="e">
        <f>Checklist!#REF!</f>
        <v>#REF!</v>
      </c>
      <c r="C26" s="32" t="str">
        <f>IF(EXACT(Checklist!C28,""),"--",Checklist!C28)</f>
        <v>--</v>
      </c>
    </row>
    <row r="27" spans="1:3" x14ac:dyDescent="0.3">
      <c r="A27" s="30" t="str">
        <f>Checklist!A29</f>
        <v>Implementa Value Object al menos para 4 atributos</v>
      </c>
      <c r="B27" s="31" t="e">
        <f>Checklist!#REF!</f>
        <v>#REF!</v>
      </c>
      <c r="C27" s="32" t="str">
        <f>IF(EXACT(Checklist!C29,""),"--",Checklist!C29)</f>
        <v>--</v>
      </c>
    </row>
    <row r="28" spans="1:3" ht="24" x14ac:dyDescent="0.3">
      <c r="A28" s="30" t="str">
        <f>Checklist!A30</f>
        <v>Value objects incluyen constructor parametrizado con validación y lanza excepción si no son válidos los datos.</v>
      </c>
      <c r="B28" s="31" t="e">
        <f>Checklist!#REF!</f>
        <v>#REF!</v>
      </c>
      <c r="C28" s="32" t="str">
        <f>IF(EXACT(Checklist!C30,""),"--",Checklist!C30)</f>
        <v>--</v>
      </c>
    </row>
    <row r="29" spans="1:3" x14ac:dyDescent="0.3">
      <c r="A29" s="30" t="e">
        <f>Checklist!#REF!</f>
        <v>#REF!</v>
      </c>
      <c r="B29" s="31" t="e">
        <f>Checklist!#REF!</f>
        <v>#REF!</v>
      </c>
      <c r="C29" s="32" t="e">
        <f>IF(EXACT(Checklist!#REF!,""),"--",Checklist!#REF!)</f>
        <v>#REF!</v>
      </c>
    </row>
    <row r="30" spans="1:3" x14ac:dyDescent="0.3">
      <c r="A30" s="30" t="str">
        <f>Checklist!A32</f>
        <v>Capa de negocio incluye interfaces para los repositorios.</v>
      </c>
      <c r="B30" s="31" t="e">
        <f>Checklist!#REF!</f>
        <v>#REF!</v>
      </c>
      <c r="C30" s="32" t="str">
        <f>IF(EXACT(Checklist!C32,""),"--",Checklist!C32)</f>
        <v>--</v>
      </c>
    </row>
    <row r="31" spans="1:3" x14ac:dyDescent="0.3">
      <c r="A31" s="30" t="str">
        <f>Checklist!A33</f>
        <v>Utiliza excepciones personalizadas para las validaciones.</v>
      </c>
      <c r="B31" s="31" t="e">
        <f>Checklist!#REF!</f>
        <v>#REF!</v>
      </c>
      <c r="C31" s="32" t="str">
        <f>IF(EXACT(Checklist!C33,""),"--",Checklist!C33)</f>
        <v>--</v>
      </c>
    </row>
    <row r="32" spans="1:3" ht="24" x14ac:dyDescent="0.3">
      <c r="A32" s="30" t="str">
        <f>Checklist!A34</f>
        <v>Parametriza los topes del largo de nombres y descripciones adecuadamente.</v>
      </c>
      <c r="B32" s="31" t="e">
        <f>Checklist!#REF!</f>
        <v>#REF!</v>
      </c>
      <c r="C32" s="32" t="str">
        <f>IF(EXACT(Checklist!C34,""),"--",Checklist!C34)</f>
        <v>--</v>
      </c>
    </row>
    <row r="33" spans="1:3" x14ac:dyDescent="0.3">
      <c r="A33" s="27" t="str">
        <f>Checklist!A35</f>
        <v>Inclusión de la capa de aplicación</v>
      </c>
      <c r="B33" s="27"/>
      <c r="C33" s="27"/>
    </row>
    <row r="34" spans="1:3" ht="36" x14ac:dyDescent="0.3">
      <c r="A34" s="30" t="str">
        <f>Checklist!A36</f>
        <v>Capa de aplicación incluye una interfaz y su implementación por cada caso de uso relevado. Cada caso de uso resuelve únicamente lo solicitado en forma completa.</v>
      </c>
      <c r="B34" s="31" t="e">
        <f>Checklist!#REF!</f>
        <v>#REF!</v>
      </c>
      <c r="C34" s="32" t="str">
        <f>IF(EXACT(Checklist!C36,""),"--",Checklist!C36)</f>
        <v>--</v>
      </c>
    </row>
    <row r="35" spans="1:3" x14ac:dyDescent="0.3">
      <c r="A35" s="30" t="str">
        <f>Checklist!A37</f>
        <v>Se resuelve en un proyecto aparte.</v>
      </c>
      <c r="B35" s="31" t="e">
        <f>Checklist!#REF!</f>
        <v>#REF!</v>
      </c>
      <c r="C35" s="32" t="str">
        <f>IF(EXACT(Checklist!C37,""),"--",Checklist!C37)</f>
        <v>--</v>
      </c>
    </row>
    <row r="36" spans="1:3" ht="24" x14ac:dyDescent="0.3">
      <c r="A36" s="30" t="str">
        <f>Checklist!A38</f>
        <v>No accede a la clase de contexto directamente, sino a través de los repositorios.</v>
      </c>
      <c r="B36" s="31" t="e">
        <f>Checklist!#REF!</f>
        <v>#REF!</v>
      </c>
      <c r="C36" s="32" t="str">
        <f>IF(EXACT(Checklist!C38,""),"--",Checklist!C38)</f>
        <v>--</v>
      </c>
    </row>
    <row r="37" spans="1:3" ht="16.5" customHeight="1" x14ac:dyDescent="0.3">
      <c r="A37" s="30">
        <f>Checklist!A39</f>
        <v>0</v>
      </c>
      <c r="B37" s="31" t="e">
        <f>Checklist!#REF!</f>
        <v>#REF!</v>
      </c>
      <c r="C37" s="32" t="str">
        <f>IF(EXACT(Checklist!C39,""),"--",Checklist!C39)</f>
        <v>--</v>
      </c>
    </row>
    <row r="38" spans="1:3" ht="24" x14ac:dyDescent="0.3">
      <c r="A38" s="30" t="str">
        <f>Checklist!A40</f>
        <v>Captura excepciones y retorna el valor apropiado o las relanza, cuando corresponde.</v>
      </c>
      <c r="B38" s="31" t="e">
        <f>Checklist!#REF!</f>
        <v>#REF!</v>
      </c>
      <c r="C38" s="32" t="str">
        <f>IF(EXACT(Checklist!C40,""),"--",Checklist!C40)</f>
        <v>--</v>
      </c>
    </row>
    <row r="39" spans="1:3" ht="24" x14ac:dyDescent="0.3">
      <c r="A39" s="30" t="str">
        <f>Checklist!A41</f>
        <v>Recibe la inyección de las interfaces de los repositorios y no usa directamente los repositorios concretos.</v>
      </c>
      <c r="B39" s="31" t="e">
        <f>Checklist!#REF!</f>
        <v>#REF!</v>
      </c>
      <c r="C39" s="32" t="str">
        <f>IF(EXACT(Checklist!C41,""),"--",Checklist!C41)</f>
        <v>--</v>
      </c>
    </row>
    <row r="40" spans="1:3" x14ac:dyDescent="0.3">
      <c r="A40" s="27" t="str">
        <f>Checklist!A42</f>
        <v>Webapi</v>
      </c>
      <c r="B40" s="27"/>
      <c r="C40" s="27"/>
    </row>
    <row r="41" spans="1:3" ht="24" x14ac:dyDescent="0.3">
      <c r="A41" s="30" t="str">
        <f>Checklist!A43</f>
        <v>Incluye los controllers apropiados para agrupar los casos de uso coherentemente.</v>
      </c>
      <c r="B41" s="31" t="e">
        <f>Checklist!#REF!</f>
        <v>#REF!</v>
      </c>
      <c r="C41" s="32" t="str">
        <f>IF(EXACT(Checklist!C43,""),"--",Checklist!C43)</f>
        <v>--</v>
      </c>
    </row>
    <row r="42" spans="1:3" ht="24" x14ac:dyDescent="0.3">
      <c r="A42" s="30" t="str">
        <f>Checklist!A44</f>
        <v>Las rutas siguen la especificación Rest (urls orientadas a recursos y no a operaciones).</v>
      </c>
      <c r="B42" s="31" t="e">
        <f>Checklist!#REF!</f>
        <v>#REF!</v>
      </c>
      <c r="C42" s="32" t="str">
        <f>IF(EXACT(Checklist!C44,""),"--",Checklist!C44)</f>
        <v>--</v>
      </c>
    </row>
    <row r="43" spans="1:3" x14ac:dyDescent="0.3">
      <c r="A43" s="30" t="str">
        <f>Checklist!A45</f>
        <v>Se utilizan los verbos HTTP adecuados según Rest.</v>
      </c>
      <c r="B43" s="31" t="e">
        <f>Checklist!#REF!</f>
        <v>#REF!</v>
      </c>
      <c r="C43" s="32" t="str">
        <f>IF(EXACT(Checklist!C45,""),"--",Checklist!C45)</f>
        <v>--</v>
      </c>
    </row>
    <row r="44" spans="1:3" x14ac:dyDescent="0.3">
      <c r="A44" s="30" t="str">
        <f>Checklist!A46</f>
        <v>Retorna y recibe únicamente DTOs</v>
      </c>
      <c r="B44" s="31" t="e">
        <f>Checklist!#REF!</f>
        <v>#REF!</v>
      </c>
      <c r="C44" s="32" t="str">
        <f>IF(EXACT(Checklist!C46,""),"--",Checklist!C46)</f>
        <v>--</v>
      </c>
    </row>
    <row r="45" spans="1:3" x14ac:dyDescent="0.3">
      <c r="A45" s="30" t="str">
        <f>Checklist!A47</f>
        <v>Accede exclusivamente a la capa de aplicación</v>
      </c>
      <c r="B45" s="31" t="e">
        <f>Checklist!#REF!</f>
        <v>#REF!</v>
      </c>
      <c r="C45" s="32" t="str">
        <f>IF(EXACT(Checklist!C47,""),"--",Checklist!C47)</f>
        <v>--</v>
      </c>
    </row>
    <row r="46" spans="1:3" x14ac:dyDescent="0.3">
      <c r="A46" s="30" t="str">
        <f>Checklist!A48</f>
        <v>Utiliza los retornos apropiados (Ok, Created, NoContent, etc.)</v>
      </c>
      <c r="B46" s="31" t="e">
        <f>Checklist!#REF!</f>
        <v>#REF!</v>
      </c>
      <c r="C46" s="32" t="str">
        <f>IF(EXACT(Checklist!C48,""),"--",Checklist!C48)</f>
        <v>--</v>
      </c>
    </row>
    <row r="47" spans="1:3" ht="48" x14ac:dyDescent="0.3">
      <c r="A47" s="30" t="str">
        <f>Checklist!A49</f>
        <v>Incluye documentación mediante swagger. Cada DTO y cada método incluye un comentario xml para el summary (siempre), parámetros y retorno (cuando corresponde). Incluye los códigos de estado utilizados en cada método (ProducesResponseType).</v>
      </c>
      <c r="B47" s="31" t="e">
        <f>Checklist!#REF!</f>
        <v>#REF!</v>
      </c>
      <c r="C47" s="32" t="str">
        <f>IF(EXACT(Checklist!C49,""),"--",Checklist!C49)</f>
        <v>--</v>
      </c>
    </row>
    <row r="48" spans="1:3" x14ac:dyDescent="0.3">
      <c r="A48" s="27" t="str">
        <f>Checklist!A50</f>
        <v>Cliente MVC que consume la Web Api</v>
      </c>
      <c r="B48" s="27"/>
      <c r="C48" s="27"/>
    </row>
    <row r="49" spans="1:3" ht="48" x14ac:dyDescent="0.3">
      <c r="A49" s="30" t="str">
        <f>Checklist!A51</f>
        <v>No tiene ninguna dependencia con la aplicación (no conoce los casos de uso, dominio, etc.). Solamente accede mediante HTTPClient a la Web Api. Sea en la misma solución o en soluciones separadas.</v>
      </c>
      <c r="B49" s="31" t="e">
        <f>Checklist!#REF!</f>
        <v>#REF!</v>
      </c>
      <c r="C49" s="32" t="str">
        <f>IF(EXACT(Checklist!C51,""),"--",Checklist!C51)</f>
        <v>--</v>
      </c>
    </row>
    <row r="50" spans="1:3" ht="24" x14ac:dyDescent="0.3">
      <c r="A50" s="30" t="str">
        <f>Checklist!A52</f>
        <v>Utiliza View Models / DTOs para obtener y enviar objetos hacia y desde la Web Api</v>
      </c>
      <c r="B50" s="31" t="e">
        <f>Checklist!#REF!</f>
        <v>#REF!</v>
      </c>
      <c r="C50" s="32" t="str">
        <f>IF(EXACT(Checklist!C52,""),"--",Checklist!C52)</f>
        <v>--</v>
      </c>
    </row>
    <row r="51" spans="1:3" ht="24" x14ac:dyDescent="0.3">
      <c r="A51" s="30" t="str">
        <f>Checklist!A53</f>
        <v xml:space="preserve">Utiliza correctamente los métodos de HttpClient </v>
      </c>
      <c r="B51" s="31" t="e">
        <f>Checklist!#REF!</f>
        <v>#REF!</v>
      </c>
      <c r="C51" s="32" t="str">
        <f>IF(EXACT(Checklist!C53,""),"--",Checklist!C53)</f>
        <v>--</v>
      </c>
    </row>
    <row r="52" spans="1:3" ht="24" x14ac:dyDescent="0.3">
      <c r="A52" s="30" t="str">
        <f>Checklist!A54</f>
        <v>Evalúa los códigos de estado de la respuesta de la API para enviar mensajes, cancelar o continuar la operación, etc.</v>
      </c>
      <c r="B52" s="31" t="e">
        <f>Checklist!#REF!</f>
        <v>#REF!</v>
      </c>
      <c r="C52" s="32" t="str">
        <f>IF(EXACT(Checklist!C54,""),"--",Checklist!C54)</f>
        <v>--</v>
      </c>
    </row>
    <row r="53" spans="1:3" ht="24" x14ac:dyDescent="0.3">
      <c r="A53" s="30" t="str">
        <f>Checklist!A55</f>
        <v>Controla el acceso a los métodos de los controllers según el usuario autenticado.</v>
      </c>
      <c r="B53" s="31" t="e">
        <f>Checklist!#REF!</f>
        <v>#REF!</v>
      </c>
      <c r="C53" s="32" t="str">
        <f>IF(EXACT(Checklist!C55,""),"--",Checklist!C55)</f>
        <v>--</v>
      </c>
    </row>
    <row r="54" spans="1:3" x14ac:dyDescent="0.3">
      <c r="A54" s="27" t="str">
        <f>Checklist!A56</f>
        <v>Implementación de la seguridad usando Tokens.</v>
      </c>
      <c r="B54" s="27"/>
      <c r="C54" s="27"/>
    </row>
    <row r="55" spans="1:3" x14ac:dyDescent="0.3">
      <c r="A55" s="30" t="str">
        <f>Checklist!A57</f>
        <v>Genera token al hacer el login.</v>
      </c>
      <c r="B55" s="31" t="e">
        <f>Checklist!#REF!</f>
        <v>#REF!</v>
      </c>
      <c r="C55" s="32" t="str">
        <f>IF(EXACT(Checklist!C57,""),"--",Checklist!C57)</f>
        <v>--</v>
      </c>
    </row>
    <row r="56" spans="1:3" ht="24" x14ac:dyDescent="0.3">
      <c r="A56" s="30" t="str">
        <f>Checklist!A58</f>
        <v>El cliente almacena temporalmente en Session el token para no solicitarlo en cada operación.</v>
      </c>
      <c r="B56" s="31" t="e">
        <f>Checklist!#REF!</f>
        <v>#REF!</v>
      </c>
      <c r="C56" s="32" t="str">
        <f>IF(EXACT(Checklist!C58,""),"--",Checklist!C58)</f>
        <v>--</v>
      </c>
    </row>
    <row r="57" spans="1:3" x14ac:dyDescent="0.3">
      <c r="A57" s="30" t="str">
        <f>Checklist!A59</f>
        <v>Envía el token en cada solicitud para controlar el acceso a la webapi.</v>
      </c>
      <c r="B57" s="31" t="e">
        <f>Checklist!#REF!</f>
        <v>#REF!</v>
      </c>
      <c r="C57" s="32" t="str">
        <f>IF(EXACT(Checklist!C59,""),"--",Checklist!C59)</f>
        <v>--</v>
      </c>
    </row>
    <row r="58" spans="1:3" ht="36" x14ac:dyDescent="0.3">
      <c r="A58" s="30" t="str">
        <f>Checklist!A60</f>
        <v>No permite consumir los  webapi si no está autorizado. Salvo login</v>
      </c>
      <c r="B58" s="31" t="e">
        <f>Checklist!#REF!</f>
        <v>#REF!</v>
      </c>
      <c r="C58" s="32" t="str">
        <f>IF(EXACT(Checklist!C60,""),"--",Checklist!C60)</f>
        <v>--</v>
      </c>
    </row>
    <row r="59" spans="1:3" ht="24" x14ac:dyDescent="0.3">
      <c r="A59" s="27" t="e">
        <f>Checklist!#REF!</f>
        <v>#REF!</v>
      </c>
      <c r="B59" s="27"/>
      <c r="C59" s="27"/>
    </row>
    <row r="60" spans="1:3" x14ac:dyDescent="0.3">
      <c r="A60" s="30" t="e">
        <f>Checklist!#REF!</f>
        <v>#REF!</v>
      </c>
      <c r="B60" s="31" t="e">
        <f>Checklist!#REF!</f>
        <v>#REF!</v>
      </c>
      <c r="C60" s="32" t="e">
        <f>IF(EXACT(Checklist!#REF!,""),"--",Checklist!#REF!)</f>
        <v>#REF!</v>
      </c>
    </row>
    <row r="61" spans="1:3" x14ac:dyDescent="0.3">
      <c r="A61" s="30" t="e">
        <f>Checklist!#REF!</f>
        <v>#REF!</v>
      </c>
      <c r="B61" s="31" t="e">
        <f>Checklist!#REF!</f>
        <v>#REF!</v>
      </c>
      <c r="C61" s="32" t="e">
        <f>IF(EXACT(Checklist!#REF!,""),"--",Checklist!#REF!)</f>
        <v>#REF!</v>
      </c>
    </row>
    <row r="62" spans="1:3" x14ac:dyDescent="0.3">
      <c r="A62" s="30" t="e">
        <f>Checklist!#REF!</f>
        <v>#REF!</v>
      </c>
      <c r="B62" s="31" t="e">
        <f>Checklist!#REF!</f>
        <v>#REF!</v>
      </c>
      <c r="C62" s="32" t="e">
        <f>IF(EXACT(Checklist!#REF!,""),"--",Checklist!#REF!)</f>
        <v>#REF!</v>
      </c>
    </row>
    <row r="63" spans="1:3" ht="24" x14ac:dyDescent="0.3">
      <c r="A63" s="27" t="str">
        <f>Checklist!A61</f>
        <v>Login (visitante sin identificar)</v>
      </c>
      <c r="B63" s="27"/>
      <c r="C63" s="27"/>
    </row>
    <row r="64" spans="1:3" x14ac:dyDescent="0.3">
      <c r="A64" s="30" t="str">
        <f>Checklist!A63</f>
        <v>Usa capa de aplicación</v>
      </c>
      <c r="B64" s="31" t="e">
        <f>Checklist!#REF!</f>
        <v>#REF!</v>
      </c>
      <c r="C64" s="32" t="str">
        <f>IF(EXACT(Checklist!C63,""),"--",Checklist!C63)</f>
        <v>--</v>
      </c>
    </row>
    <row r="65" spans="1:3" x14ac:dyDescent="0.3">
      <c r="A65" s="30" t="str">
        <f>Checklist!A64</f>
        <v>Genera un nuevo token.</v>
      </c>
      <c r="B65" s="31" t="e">
        <f>Checklist!#REF!</f>
        <v>#REF!</v>
      </c>
      <c r="C65" s="32" t="str">
        <f>IF(EXACT(Checklist!C64,""),"--",Checklist!C64)</f>
        <v>--</v>
      </c>
    </row>
    <row r="66" spans="1:3" x14ac:dyDescent="0.3">
      <c r="A66" s="30" t="str">
        <f>Checklist!A62</f>
        <v>Tiene Webapi</v>
      </c>
      <c r="B66" s="31" t="e">
        <f>Checklist!#REF!</f>
        <v>#REF!</v>
      </c>
      <c r="C66" s="32" t="str">
        <f>IF(EXACT(Checklist!C62,""),"--",Checklist!C62)</f>
        <v>--</v>
      </c>
    </row>
    <row r="67" spans="1:3" x14ac:dyDescent="0.3">
      <c r="A67" s="30" t="str">
        <f>Checklist!A65</f>
        <v>Consume la webapi en MVC a través de HTTPClient</v>
      </c>
      <c r="B67" s="31" t="e">
        <f>Checklist!#REF!</f>
        <v>#REF!</v>
      </c>
      <c r="C67" s="32" t="str">
        <f>IF(EXACT(Checklist!C65,""),"--",Checklist!C65)</f>
        <v>--</v>
      </c>
    </row>
    <row r="68" spans="1:3" x14ac:dyDescent="0.3">
      <c r="A68" s="30" t="str">
        <f>Checklist!A66</f>
        <v>Cierra sesión del usuario corriente y redirige a login.</v>
      </c>
      <c r="B68" s="31" t="e">
        <f>Checklist!#REF!</f>
        <v>#REF!</v>
      </c>
      <c r="C68" s="32" t="str">
        <f>IF(EXACT(Checklist!C66,""),"--",Checklist!C66)</f>
        <v>--</v>
      </c>
    </row>
    <row r="69" spans="1:3" ht="24" x14ac:dyDescent="0.3">
      <c r="A69" s="27" t="str">
        <f>Checklist!A67</f>
        <v xml:space="preserve">Mantenimiento de tipo de cabaña (usuario autenticado) </v>
      </c>
      <c r="B69" s="27"/>
      <c r="C69" s="27"/>
    </row>
    <row r="70" spans="1:3" x14ac:dyDescent="0.3">
      <c r="A70" s="30" t="str">
        <f>Checklist!A68</f>
        <v>Tiene Webapi</v>
      </c>
      <c r="B70" s="31" t="e">
        <f>Checklist!#REF!</f>
        <v>#REF!</v>
      </c>
      <c r="C70" s="32" t="str">
        <f>IF(EXACT(Checklist!C68,""),"--",Checklist!C68)</f>
        <v>--</v>
      </c>
    </row>
    <row r="71" spans="1:3" x14ac:dyDescent="0.3">
      <c r="A71" s="30" t="str">
        <f>Checklist!A69</f>
        <v>Usa capa de aplicación</v>
      </c>
      <c r="B71" s="31" t="e">
        <f>Checklist!#REF!</f>
        <v>#REF!</v>
      </c>
      <c r="C71" s="32" t="str">
        <f>IF(EXACT(Checklist!C69,""),"--",Checklist!C69)</f>
        <v>--</v>
      </c>
    </row>
    <row r="72" spans="1:3" x14ac:dyDescent="0.3">
      <c r="A72" s="30" t="str">
        <f>Checklist!A70</f>
        <v>Consume la webapi en MVC a través de HTTPClient</v>
      </c>
      <c r="B72" s="31" t="e">
        <f>Checklist!#REF!</f>
        <v>#REF!</v>
      </c>
      <c r="C72" s="32" t="str">
        <f>IF(EXACT(Checklist!C70,""),"--",Checklist!C70)</f>
        <v>--</v>
      </c>
    </row>
    <row r="73" spans="1:3" x14ac:dyDescent="0.3">
      <c r="A73" s="30" t="str">
        <f>Checklist!A71</f>
        <v>a) Alta</v>
      </c>
      <c r="B73" s="31"/>
      <c r="C73" s="32"/>
    </row>
    <row r="74" spans="1:3" x14ac:dyDescent="0.3">
      <c r="A74" s="30" t="str">
        <f>Checklist!A72</f>
        <v>b) Listar todos los tipos disponibles</v>
      </c>
      <c r="B74" s="31"/>
      <c r="C74" s="32"/>
    </row>
    <row r="75" spans="1:3" x14ac:dyDescent="0.3">
      <c r="A75" s="30" t="str">
        <f>Checklist!A73</f>
        <v>c) Búsqueda por nombre</v>
      </c>
      <c r="B75" s="31"/>
      <c r="C75" s="32"/>
    </row>
    <row r="76" spans="1:3" x14ac:dyDescent="0.3">
      <c r="A76" s="30" t="str">
        <f>Checklist!A74</f>
        <v>d) Eliminación de tipo</v>
      </c>
      <c r="B76" s="31"/>
      <c r="C76" s="32"/>
    </row>
    <row r="77" spans="1:3" x14ac:dyDescent="0.3">
      <c r="A77" s="30" t="str">
        <f>Checklist!A75</f>
        <v>e) Modificación de descripción y costo por persona.</v>
      </c>
      <c r="B77" s="31"/>
      <c r="C77" s="32"/>
    </row>
    <row r="78" spans="1:3" x14ac:dyDescent="0.3">
      <c r="A78" s="27" t="str">
        <f>Checklist!A76</f>
        <v>Registro de cabaña (usuario autenticado)</v>
      </c>
      <c r="B78" s="27"/>
      <c r="C78" s="27"/>
    </row>
    <row r="79" spans="1:3" x14ac:dyDescent="0.3">
      <c r="A79" s="30" t="str">
        <f>Checklist!A77</f>
        <v>Tiene Webapi</v>
      </c>
      <c r="B79" s="31" t="e">
        <f>Checklist!#REF!</f>
        <v>#REF!</v>
      </c>
      <c r="C79" s="32" t="str">
        <f>IF(EXACT(Checklist!C77,""),"--",Checklist!C77)</f>
        <v>--</v>
      </c>
    </row>
    <row r="80" spans="1:3" x14ac:dyDescent="0.3">
      <c r="A80" s="30" t="str">
        <f>Checklist!A78</f>
        <v>Usa capa de aplicación</v>
      </c>
      <c r="B80" s="31" t="e">
        <f>Checklist!#REF!</f>
        <v>#REF!</v>
      </c>
      <c r="C80" s="32" t="str">
        <f>IF(EXACT(Checklist!C78,""),"--",Checklist!C78)</f>
        <v>--</v>
      </c>
    </row>
    <row r="81" spans="1:3" x14ac:dyDescent="0.3">
      <c r="A81" s="30" t="str">
        <f>Checklist!A79</f>
        <v>Consume la webapi en MVC a través de HTTPClient</v>
      </c>
      <c r="B81" s="31" t="e">
        <f>Checklist!#REF!</f>
        <v>#REF!</v>
      </c>
      <c r="C81" s="32" t="str">
        <f>IF(EXACT(Checklist!C79,""),"--",Checklist!C79)</f>
        <v>--</v>
      </c>
    </row>
    <row r="82" spans="1:3" x14ac:dyDescent="0.3">
      <c r="A82" s="27" t="str">
        <f>Checklist!A80</f>
        <v>Búsqueda de cabañas (usuario autenticado)</v>
      </c>
      <c r="B82" s="27"/>
      <c r="C82" s="27"/>
    </row>
    <row r="83" spans="1:3" x14ac:dyDescent="0.3">
      <c r="A83" s="30" t="str">
        <f>Checklist!A81</f>
        <v>Tiene Webapi</v>
      </c>
      <c r="B83" s="31" t="e">
        <f>Checklist!#REF!</f>
        <v>#REF!</v>
      </c>
      <c r="C83" s="32" t="str">
        <f>IF(EXACT(Checklist!C81,""),"--",Checklist!C81)</f>
        <v>--</v>
      </c>
    </row>
    <row r="84" spans="1:3" x14ac:dyDescent="0.3">
      <c r="A84" s="30" t="str">
        <f>Checklist!A82</f>
        <v>Usa capa de aplicación</v>
      </c>
      <c r="B84" s="31" t="e">
        <f>Checklist!#REF!</f>
        <v>#REF!</v>
      </c>
      <c r="C84" s="32" t="str">
        <f>IF(EXACT(Checklist!C82,""),"--",Checklist!C82)</f>
        <v>--</v>
      </c>
    </row>
    <row r="85" spans="1:3" x14ac:dyDescent="0.3">
      <c r="A85" s="30" t="str">
        <f>Checklist!A83</f>
        <v>Consume la webapi en MVC a través de HTTPClient</v>
      </c>
      <c r="B85" s="31" t="e">
        <f>Checklist!#REF!</f>
        <v>#REF!</v>
      </c>
      <c r="C85" s="32" t="str">
        <f>IF(EXACT(Checklist!C83,""),"--",Checklist!C83)</f>
        <v>--</v>
      </c>
    </row>
    <row r="86" spans="1:3" x14ac:dyDescent="0.3">
      <c r="A86" s="27" t="str">
        <f>Checklist!A84</f>
        <v>Registrar mantenimiento de  cabaña  (usuario autenticado)</v>
      </c>
      <c r="B86" s="27"/>
      <c r="C86" s="27"/>
    </row>
    <row r="87" spans="1:3" x14ac:dyDescent="0.3">
      <c r="A87" s="30" t="str">
        <f>Checklist!A85</f>
        <v>Tiene Webapi</v>
      </c>
      <c r="B87" s="31" t="e">
        <f>Checklist!#REF!</f>
        <v>#REF!</v>
      </c>
      <c r="C87" s="32" t="str">
        <f>IF(EXACT(Checklist!C85,""),"--",Checklist!C85)</f>
        <v>--</v>
      </c>
    </row>
    <row r="88" spans="1:3" x14ac:dyDescent="0.3">
      <c r="A88" s="30" t="str">
        <f>Checklist!A86</f>
        <v>Usa capa de aplicación</v>
      </c>
      <c r="B88" s="31" t="e">
        <f>Checklist!#REF!</f>
        <v>#REF!</v>
      </c>
      <c r="C88" s="32" t="str">
        <f>IF(EXACT(Checklist!C86,""),"--",Checklist!C86)</f>
        <v>--</v>
      </c>
    </row>
    <row r="89" spans="1:3" x14ac:dyDescent="0.3">
      <c r="A89" s="30" t="str">
        <f>Checklist!A87</f>
        <v>Consume la webapi en MVC a través de HTTPClient</v>
      </c>
      <c r="B89" s="31" t="e">
        <f>Checklist!#REF!</f>
        <v>#REF!</v>
      </c>
      <c r="C89" s="32" t="str">
        <f>IF(EXACT(Checklist!C87,""),"--",Checklist!C87)</f>
        <v>--</v>
      </c>
    </row>
    <row r="90" spans="1:3" ht="24" x14ac:dyDescent="0.3">
      <c r="A90" s="27" t="str">
        <f>Checklist!A88</f>
        <v>8.Listar mantenimientos de  cabaña entre dos fechas (usuario autenticado)</v>
      </c>
      <c r="B90" s="27"/>
      <c r="C90" s="27"/>
    </row>
    <row r="91" spans="1:3" x14ac:dyDescent="0.3">
      <c r="A91" s="30" t="str">
        <f>Checklist!A89</f>
        <v>Tiene Webapi</v>
      </c>
      <c r="B91" s="31" t="e">
        <f>Checklist!#REF!</f>
        <v>#REF!</v>
      </c>
      <c r="C91" s="32" t="str">
        <f>IF(EXACT(Checklist!C89,""),"--",Checklist!C89)</f>
        <v>--</v>
      </c>
    </row>
    <row r="92" spans="1:3" x14ac:dyDescent="0.3">
      <c r="A92" s="30" t="str">
        <f>Checklist!A90</f>
        <v>Usa capa de aplicación</v>
      </c>
      <c r="B92" s="31" t="e">
        <f>Checklist!#REF!</f>
        <v>#REF!</v>
      </c>
      <c r="C92" s="32" t="str">
        <f>IF(EXACT(Checklist!C90,""),"--",Checklist!C90)</f>
        <v>--</v>
      </c>
    </row>
    <row r="93" spans="1:3" x14ac:dyDescent="0.3">
      <c r="A93" s="30" t="str">
        <f>Checklist!A91</f>
        <v>Consume la webapi en MVC a través de HTTPClient</v>
      </c>
      <c r="B93" s="31" t="e">
        <f>Checklist!#REF!</f>
        <v>#REF!</v>
      </c>
      <c r="C93" s="32" t="str">
        <f>IF(EXACT(Checklist!C91,""),"--",Checklist!C91)</f>
        <v>--</v>
      </c>
    </row>
    <row r="94" spans="1:3" x14ac:dyDescent="0.3">
      <c r="A94" s="27" t="str">
        <f>Checklist!A92</f>
        <v>Nuevas consultas (usuario autenticado)</v>
      </c>
      <c r="B94" s="27"/>
      <c r="C94" s="27"/>
    </row>
    <row r="95" spans="1:3" ht="48" x14ac:dyDescent="0.3">
      <c r="A95" s="30" t="str">
        <f>Checklist!A93</f>
        <v>Dado un monto obtener el nombre y capacidad (cantidad de huéspedes que puede alojar) de las cabañas que tengan un costo diario menor a ese monto, que tengan jacuzzi y estén habilitadas para reserva.</v>
      </c>
      <c r="B95" s="31" t="e">
        <f>Checklist!#REF!</f>
        <v>#REF!</v>
      </c>
      <c r="C95" s="32" t="str">
        <f>IF(EXACT(Checklist!C93,""),"--",Checklist!C93)</f>
        <v>--</v>
      </c>
    </row>
    <row r="96" spans="1:3" ht="60" x14ac:dyDescent="0.3">
      <c r="A96" s="30" t="str">
        <f>Checklist!A94</f>
        <v>Dados dos valores, obtener los mantenimientos realizados a las cabañas con una capacidad que esté comprendida (topes inclusive) entre ambos valores. El resultado se agrupará por nombre de la persona que realizó el mantenimiento, e incluirá el nombre de la persona y el monto total de los mantenimientos que realizó</v>
      </c>
      <c r="B96" s="31" t="e">
        <f>Checklist!#REF!</f>
        <v>#REF!</v>
      </c>
      <c r="C96" s="32" t="str">
        <f>IF(EXACT(Checklist!C94,""),"--",Checklist!C94)</f>
        <v>--</v>
      </c>
    </row>
    <row r="97" spans="1:3" ht="24" x14ac:dyDescent="0.3">
      <c r="A97" s="30" t="str">
        <f>Checklist!A95</f>
        <v>Utiliza exclusivamente Linq para las consultas. 
En caso contrario valen 0</v>
      </c>
      <c r="B97" s="31" t="e">
        <f>Checklist!#REF!</f>
        <v>#REF!</v>
      </c>
      <c r="C97" s="32" t="str">
        <f>IF(EXACT(Checklist!C95,""),"--",Checklist!C95)</f>
        <v>--</v>
      </c>
    </row>
    <row r="98" spans="1:3" x14ac:dyDescent="0.3">
      <c r="A98" s="30" t="str">
        <f>Checklist!A96</f>
        <v>Tiene Webapi</v>
      </c>
      <c r="B98" s="31" t="e">
        <f>Checklist!#REF!</f>
        <v>#REF!</v>
      </c>
      <c r="C98" s="32" t="str">
        <f>IF(EXACT(Checklist!C96,""),"--",Checklist!C96)</f>
        <v>--</v>
      </c>
    </row>
    <row r="99" spans="1:3" x14ac:dyDescent="0.3">
      <c r="A99" s="30" t="str">
        <f>Checklist!A97</f>
        <v>Usa capa de aplicación</v>
      </c>
      <c r="B99" s="31" t="e">
        <f>Checklist!#REF!</f>
        <v>#REF!</v>
      </c>
      <c r="C99" s="32" t="str">
        <f>IF(EXACT(Checklist!C97,""),"--",Checklist!C97)</f>
        <v>--</v>
      </c>
    </row>
    <row r="100" spans="1:3" x14ac:dyDescent="0.3">
      <c r="A100" s="30" t="str">
        <f>Checklist!A98</f>
        <v>Consume la webapi en MVC a través de HTTPClient</v>
      </c>
      <c r="B100" s="31" t="e">
        <f>Checklist!#REF!</f>
        <v>#REF!</v>
      </c>
      <c r="C100" s="32" t="str">
        <f>IF(EXACT(Checklist!C98,""),"--",Checklist!C98)</f>
        <v>--</v>
      </c>
    </row>
    <row r="101" spans="1:3" x14ac:dyDescent="0.3">
      <c r="A101" s="23"/>
    </row>
    <row r="102" spans="1:3" x14ac:dyDescent="0.3">
      <c r="A102" s="23"/>
    </row>
    <row r="103" spans="1:3" x14ac:dyDescent="0.3">
      <c r="A103" s="23"/>
    </row>
    <row r="104" spans="1:3" x14ac:dyDescent="0.3">
      <c r="A104" s="23"/>
    </row>
    <row r="105" spans="1:3" x14ac:dyDescent="0.3">
      <c r="A105" s="23"/>
    </row>
    <row r="106" spans="1:3" x14ac:dyDescent="0.3">
      <c r="A106" s="23"/>
    </row>
    <row r="107" spans="1:3" x14ac:dyDescent="0.3">
      <c r="A107" s="23"/>
    </row>
    <row r="108" spans="1:3" x14ac:dyDescent="0.3">
      <c r="A108" s="23"/>
    </row>
    <row r="109" spans="1:3" x14ac:dyDescent="0.3">
      <c r="A109" s="23"/>
    </row>
    <row r="110" spans="1:3" x14ac:dyDescent="0.3">
      <c r="A110" s="23"/>
    </row>
    <row r="111" spans="1:3" x14ac:dyDescent="0.3">
      <c r="A111" s="23"/>
    </row>
    <row r="112" spans="1:3" x14ac:dyDescent="0.3">
      <c r="A112" s="23"/>
    </row>
    <row r="113" spans="1:1" x14ac:dyDescent="0.3">
      <c r="A113" s="23"/>
    </row>
    <row r="114" spans="1:1" x14ac:dyDescent="0.3">
      <c r="A114" s="23"/>
    </row>
    <row r="115" spans="1:1" x14ac:dyDescent="0.3">
      <c r="A115" s="23"/>
    </row>
    <row r="116" spans="1:1" x14ac:dyDescent="0.3">
      <c r="A116" s="23"/>
    </row>
    <row r="117" spans="1:1" x14ac:dyDescent="0.3">
      <c r="A117" s="23"/>
    </row>
    <row r="118" spans="1:1" x14ac:dyDescent="0.3">
      <c r="A118" s="23"/>
    </row>
    <row r="119" spans="1:1" x14ac:dyDescent="0.3">
      <c r="A119" s="23"/>
    </row>
    <row r="120" spans="1:1" x14ac:dyDescent="0.3">
      <c r="A120" s="23"/>
    </row>
    <row r="121" spans="1:1" x14ac:dyDescent="0.3">
      <c r="A121" s="23"/>
    </row>
    <row r="122" spans="1:1" x14ac:dyDescent="0.3">
      <c r="A122" s="23"/>
    </row>
    <row r="123" spans="1:1" x14ac:dyDescent="0.3">
      <c r="A123" s="23"/>
    </row>
    <row r="124" spans="1:1" x14ac:dyDescent="0.3">
      <c r="A124" s="23"/>
    </row>
    <row r="125" spans="1:1" x14ac:dyDescent="0.3">
      <c r="A125" s="23"/>
    </row>
    <row r="126" spans="1:1" x14ac:dyDescent="0.3">
      <c r="A126" s="23"/>
    </row>
    <row r="127" spans="1:1" x14ac:dyDescent="0.3">
      <c r="A127" s="23"/>
    </row>
    <row r="128" spans="1:1" x14ac:dyDescent="0.3">
      <c r="A128" s="23"/>
    </row>
    <row r="129" spans="1:1" x14ac:dyDescent="0.3">
      <c r="A129" s="23"/>
    </row>
    <row r="130" spans="1:1" x14ac:dyDescent="0.3">
      <c r="A130" s="23"/>
    </row>
    <row r="131" spans="1:1" x14ac:dyDescent="0.3">
      <c r="A131" s="23"/>
    </row>
    <row r="132" spans="1:1" x14ac:dyDescent="0.3">
      <c r="A132" s="23"/>
    </row>
    <row r="133" spans="1:1" x14ac:dyDescent="0.3">
      <c r="A133" s="23"/>
    </row>
    <row r="134" spans="1:1" x14ac:dyDescent="0.3">
      <c r="A134" s="23"/>
    </row>
    <row r="135" spans="1:1" x14ac:dyDescent="0.3">
      <c r="A135" s="23"/>
    </row>
    <row r="136" spans="1:1" x14ac:dyDescent="0.3">
      <c r="A136" s="23"/>
    </row>
    <row r="137" spans="1:1" x14ac:dyDescent="0.3">
      <c r="A137" s="23"/>
    </row>
    <row r="138" spans="1:1" x14ac:dyDescent="0.3">
      <c r="A138" s="23"/>
    </row>
    <row r="139" spans="1:1" x14ac:dyDescent="0.3">
      <c r="A139" s="23"/>
    </row>
    <row r="140" spans="1:1" x14ac:dyDescent="0.3">
      <c r="A140" s="23"/>
    </row>
  </sheetData>
  <pageMargins left="0.7" right="0.7" top="0.75" bottom="0.75" header="0.3" footer="0.3"/>
  <pageSetup scale="84"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09219E-3EDF-48EF-9B19-1168E5F7503E}">
  <dimension ref="A1:D7"/>
  <sheetViews>
    <sheetView topLeftCell="A6" workbookViewId="0">
      <selection activeCell="D7" sqref="D7"/>
    </sheetView>
  </sheetViews>
  <sheetFormatPr baseColWidth="10" defaultColWidth="9.109375" defaultRowHeight="14.4" x14ac:dyDescent="0.3"/>
  <cols>
    <col min="1" max="1" width="8.6640625" customWidth="1"/>
    <col min="4" max="4" width="14.33203125" customWidth="1"/>
  </cols>
  <sheetData>
    <row r="1" spans="1:4" x14ac:dyDescent="0.3">
      <c r="A1" t="s">
        <v>69</v>
      </c>
      <c r="D1" t="s">
        <v>1</v>
      </c>
    </row>
    <row r="2" spans="1:4" x14ac:dyDescent="0.3">
      <c r="A2">
        <v>1</v>
      </c>
      <c r="D2" s="1">
        <v>0</v>
      </c>
    </row>
    <row r="3" spans="1:4" x14ac:dyDescent="0.3">
      <c r="A3">
        <v>2</v>
      </c>
      <c r="D3" s="1">
        <v>0.25</v>
      </c>
    </row>
    <row r="4" spans="1:4" x14ac:dyDescent="0.3">
      <c r="A4">
        <v>3</v>
      </c>
      <c r="D4" s="1">
        <v>0.5</v>
      </c>
    </row>
    <row r="5" spans="1:4" x14ac:dyDescent="0.3">
      <c r="A5">
        <v>4</v>
      </c>
      <c r="D5" s="1">
        <v>0.75</v>
      </c>
    </row>
    <row r="6" spans="1:4" x14ac:dyDescent="0.3">
      <c r="A6">
        <v>5</v>
      </c>
      <c r="D6" s="1">
        <v>1</v>
      </c>
    </row>
    <row r="7" spans="1:4" x14ac:dyDescent="0.3">
      <c r="A7">
        <v>0</v>
      </c>
    </row>
  </sheetData>
  <pageMargins left="0.7" right="0.7" top="0.75" bottom="0.75" header="0.3" footer="0.3"/>
  <tableParts count="2">
    <tablePart r:id="rId1"/>
    <tablePart r:id="rId2"/>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o" ma:contentTypeID="0x0101003CD167CC2BC44C4983200AC36A123CD3" ma:contentTypeVersion="10" ma:contentTypeDescription="Crear nuevo documento." ma:contentTypeScope="" ma:versionID="51c8a793b5019e9f26b27e44b2138826">
  <xsd:schema xmlns:xsd="http://www.w3.org/2001/XMLSchema" xmlns:xs="http://www.w3.org/2001/XMLSchema" xmlns:p="http://schemas.microsoft.com/office/2006/metadata/properties" xmlns:ns2="542dba5c-57c0-4be9-83a0-2eb54b249ad7" xmlns:ns3="5d198164-e75b-4636-a018-76cbeb3b6dcd" targetNamespace="http://schemas.microsoft.com/office/2006/metadata/properties" ma:root="true" ma:fieldsID="118219d7fa25042643916c9c26f7fed5" ns2:_="" ns3:_="">
    <xsd:import namespace="542dba5c-57c0-4be9-83a0-2eb54b249ad7"/>
    <xsd:import namespace="5d198164-e75b-4636-a018-76cbeb3b6dcd"/>
    <xsd:element name="properties">
      <xsd:complexType>
        <xsd:sequence>
          <xsd:element name="documentManagement">
            <xsd:complexType>
              <xsd:all>
                <xsd:element ref="ns2:MediaServiceMetadata" minOccurs="0"/>
                <xsd:element ref="ns2:MediaServiceFastMetadata" minOccurs="0"/>
                <xsd:element ref="ns2:lcf76f155ced4ddcb4097134ff3c332f" minOccurs="0"/>
                <xsd:element ref="ns3:TaxCatchAll" minOccurs="0"/>
                <xsd:element ref="ns2:MediaServiceOCR" minOccurs="0"/>
                <xsd:element ref="ns2:MediaServiceGenerationTime" minOccurs="0"/>
                <xsd:element ref="ns2:MediaServiceEventHashCode" minOccurs="0"/>
                <xsd:element ref="ns3:SharedWithUsers" minOccurs="0"/>
                <xsd:element ref="ns3:SharedWithDetail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542dba5c-57c0-4be9-83a0-2eb54b249ad7"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lcf76f155ced4ddcb4097134ff3c332f" ma:index="11" nillable="true" ma:taxonomy="true" ma:internalName="lcf76f155ced4ddcb4097134ff3c332f" ma:taxonomyFieldName="MediaServiceImageTags" ma:displayName="Etiquetas de imagen" ma:readOnly="false" ma:fieldId="{5cf76f15-5ced-4ddc-b409-7134ff3c332f}" ma:taxonomyMulti="true" ma:sspId="edf7f2bf-5573-42e3-b28f-b9b09d720d76" ma:termSetId="09814cd3-568e-fe90-9814-8d621ff8fb84" ma:anchorId="fba54fb3-c3e1-fe81-a776-ca4b69148c4d" ma:open="true" ma:isKeyword="false">
      <xsd:complexType>
        <xsd:sequence>
          <xsd:element ref="pc:Terms" minOccurs="0" maxOccurs="1"/>
        </xsd:sequence>
      </xsd:complexType>
    </xsd:element>
    <xsd:element name="MediaServiceOCR" ma:index="13" nillable="true" ma:displayName="Extracted Text" ma:internalName="MediaServiceOCR" ma:readOnly="true">
      <xsd:simpleType>
        <xsd:restriction base="dms:Note">
          <xsd:maxLength value="255"/>
        </xsd:restriction>
      </xsd:simpleType>
    </xsd:element>
    <xsd:element name="MediaServiceGenerationTime" ma:index="14" nillable="true" ma:displayName="MediaServiceGenerationTime" ma:hidden="true" ma:internalName="MediaServiceGenerationTime" ma:readOnly="true">
      <xsd:simpleType>
        <xsd:restriction base="dms:Text"/>
      </xsd:simpleType>
    </xsd:element>
    <xsd:element name="MediaServiceEventHashCode" ma:index="15" nillable="true" ma:displayName="MediaServiceEventHashCode" ma:hidden="true" ma:internalName="MediaServiceEventHashCode"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5d198164-e75b-4636-a018-76cbeb3b6dcd" elementFormDefault="qualified">
    <xsd:import namespace="http://schemas.microsoft.com/office/2006/documentManagement/types"/>
    <xsd:import namespace="http://schemas.microsoft.com/office/infopath/2007/PartnerControls"/>
    <xsd:element name="TaxCatchAll" ma:index="12" nillable="true" ma:displayName="Taxonomy Catch All Column" ma:hidden="true" ma:list="{52e57480-8d89-4b7e-a8c6-9f2ba053b189}" ma:internalName="TaxCatchAll" ma:showField="CatchAllData" ma:web="5d198164-e75b-4636-a018-76cbeb3b6dcd">
      <xsd:complexType>
        <xsd:complexContent>
          <xsd:extension base="dms:MultiChoiceLookup">
            <xsd:sequence>
              <xsd:element name="Value" type="dms:Lookup" maxOccurs="unbounded" minOccurs="0" nillable="true"/>
            </xsd:sequence>
          </xsd:extension>
        </xsd:complexContent>
      </xsd:complexType>
    </xsd:element>
    <xsd:element name="SharedWithUsers" ma:index="16" nillable="true" ma:displayName="Compartido con"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7" nillable="true" ma:displayName="Detalles de uso compartido"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Tipo de contenido"/>
        <xsd:element ref="dc:title" minOccurs="0" maxOccurs="1" ma:index="4" ma:displayName="Título"/>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p:properties xmlns:p="http://schemas.microsoft.com/office/2006/metadata/properties" xmlns:xsi="http://www.w3.org/2001/XMLSchema-instance" xmlns:pc="http://schemas.microsoft.com/office/infopath/2007/PartnerControls">
  <documentManagement>
    <lcf76f155ced4ddcb4097134ff3c332f xmlns="542dba5c-57c0-4be9-83a0-2eb54b249ad7">
      <Terms xmlns="http://schemas.microsoft.com/office/infopath/2007/PartnerControls"/>
    </lcf76f155ced4ddcb4097134ff3c332f>
    <TaxCatchAll xmlns="5d198164-e75b-4636-a018-76cbeb3b6dcd" xsi:nil="true"/>
  </documentManagement>
</p:properties>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ECDED399-A86B-4CD5-AD29-1B39436EE00E}">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542dba5c-57c0-4be9-83a0-2eb54b249ad7"/>
    <ds:schemaRef ds:uri="5d198164-e75b-4636-a018-76cbeb3b6dcd"/>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FC7A12F1-139B-44F0-B795-B5D3AEA741FA}">
  <ds:schemaRefs>
    <ds:schemaRef ds:uri="http://schemas.microsoft.com/office/2006/metadata/properties"/>
    <ds:schemaRef ds:uri="http://schemas.microsoft.com/office/infopath/2007/PartnerControls"/>
    <ds:schemaRef ds:uri="542dba5c-57c0-4be9-83a0-2eb54b249ad7"/>
    <ds:schemaRef ds:uri="5d198164-e75b-4636-a018-76cbeb3b6dcd"/>
  </ds:schemaRefs>
</ds:datastoreItem>
</file>

<file path=customXml/itemProps3.xml><?xml version="1.0" encoding="utf-8"?>
<ds:datastoreItem xmlns:ds="http://schemas.openxmlformats.org/officeDocument/2006/customXml" ds:itemID="{150624B3-CDF7-467C-9DF9-46CB81C78FB2}">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3</vt:i4>
      </vt:variant>
      <vt:variant>
        <vt:lpstr>Rangos con nombre</vt:lpstr>
      </vt:variant>
      <vt:variant>
        <vt:i4>1</vt:i4>
      </vt:variant>
    </vt:vector>
  </HeadingPairs>
  <TitlesOfParts>
    <vt:vector size="4" baseType="lpstr">
      <vt:lpstr>Checklist</vt:lpstr>
      <vt:lpstr>Resumen</vt:lpstr>
      <vt:lpstr>Config</vt:lpstr>
      <vt:lpstr>Checklist!Área_de_impresión</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learning</dc:creator>
  <cp:keywords/>
  <dc:description/>
  <cp:lastModifiedBy>Plinio Gañi</cp:lastModifiedBy>
  <cp:revision/>
  <dcterms:created xsi:type="dcterms:W3CDTF">2022-09-28T23:28:14Z</dcterms:created>
  <dcterms:modified xsi:type="dcterms:W3CDTF">2023-06-13T04:17:13Z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0x0101003CD167CC2BC44C4983200AC36A123CD3</vt:lpwstr>
  </property>
  <property fmtid="{D5CDD505-2E9C-101B-9397-08002B2CF9AE}" pid="3" name="MediaServiceImageTags">
    <vt:lpwstr/>
  </property>
</Properties>
</file>